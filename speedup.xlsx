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I18" i="1"/>
  <c r="I19" i="1"/>
  <c r="I20" i="1"/>
  <c r="I21" i="1"/>
  <c r="I22" i="1"/>
  <c r="I23" i="1"/>
  <c r="O20" i="1" s="1"/>
  <c r="I24" i="1"/>
  <c r="N18" i="1" s="1"/>
  <c r="I25" i="1"/>
  <c r="N19" i="1" s="1"/>
  <c r="I26" i="1"/>
  <c r="N20" i="1" s="1"/>
  <c r="I27" i="1"/>
  <c r="M18" i="1" s="1"/>
  <c r="I28" i="1"/>
  <c r="M19" i="1" s="1"/>
  <c r="I29" i="1"/>
  <c r="M20" i="1" s="1"/>
  <c r="O18" i="1"/>
  <c r="O19" i="1"/>
  <c r="P18" i="1"/>
  <c r="P19" i="1"/>
  <c r="P20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<sst xmlns="http://schemas.openxmlformats.org/spreadsheetml/2006/main" count="12" uniqueCount="9">
  <si>
    <t>slice_number</t>
  </si>
  <si>
    <t>query_num</t>
  </si>
  <si>
    <t>Time Elapsed(us)-CUDA</t>
  </si>
  <si>
    <t>Time Elapsed(us) - serial</t>
  </si>
  <si>
    <t>SpeedUP</t>
  </si>
  <si>
    <t>slice = 64</t>
  </si>
  <si>
    <t>slice = 32</t>
  </si>
  <si>
    <t>slice = 16</t>
  </si>
  <si>
    <t>slice =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</si>
</sst>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Sheet1!$P$17</c:f>
              <c:strCache>
                <c:ptCount val="1"/>
                <c:pt idx="0">
                  <c:v>slice = 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(Sheet1!$Q$18,Sheet1!$Q$19,Sheet1!$Q$20)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(Sheet1!$P$18,Sheet1!$P$19,Sheet1!$P$20)</c:f>
              <c:numCache>
                <c:formatCode>0.00E+00</c:formatCode>
                <c:ptCount val="3"/>
                <c:pt idx="0">
                  <c:v>3.7735101045162485</c:v>
                </c:pt>
                <c:pt idx="1">
                  <c:v>19.730559684820548</c:v>
                </c:pt>
                <c:pt idx="2">
                  <c:v>25.744132471758139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67-438A-BF28-50C87A4C84E4}"/>
            </c:ext>
          </c:extLst>
        </c:ser>
        <c:ser>
          <c:idx val="1"/>
          <c:order val="1"/>
          <c:tx>
            <c:strRef>
              <c:f>Sheet1!$O$17</c:f>
              <c:strCache>
                <c:ptCount val="1"/>
                <c:pt idx="0">
                  <c:v>slice = 16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(Sheet1!$Q$18,Sheet1!$Q$19,Sheet1!$Q$20)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(Sheet1!$O$18,Sheet1!$O$19,Sheet1!$O$20)</c:f>
              <c:numCache>
                <c:formatCode>0.00E+00</c:formatCode>
                <c:ptCount val="3"/>
                <c:pt idx="0">
                  <c:v>15.32771146131965</c:v>
                </c:pt>
                <c:pt idx="1">
                  <c:v>60.773055726406504</c:v>
                </c:pt>
                <c:pt idx="2">
                  <c:v>57.926037465496776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67-438A-BF28-50C87A4C84E4}"/>
            </c:ext>
          </c:extLst>
        </c:ser>
        <c:ser>
          <c:idx val="2"/>
          <c:order val="2"/>
          <c:tx>
            <c:strRef>
              <c:f>Sheet1!$N$17</c:f>
              <c:strCache>
                <c:ptCount val="1"/>
                <c:pt idx="0">
                  <c:v>slice = 32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(Sheet1!$Q$18,Sheet1!$Q$19,Sheet1!$Q$20)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(Sheet1!$N$18,Sheet1!$N$19,Sheet1!$N$20)</c:f>
              <c:numCache>
                <c:formatCode>0.00E+00</c:formatCode>
                <c:ptCount val="3"/>
                <c:pt idx="0">
                  <c:v>48.731364516006089</c:v>
                </c:pt>
                <c:pt idx="1">
                  <c:v>142.6363808900341</c:v>
                </c:pt>
                <c:pt idx="2">
                  <c:v>225.34181576007663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67-438A-BF28-50C87A4C84E4}"/>
            </c:ext>
          </c:extLst>
        </c:ser>
        <c:ser>
          <c:idx val="3"/>
          <c:order val="3"/>
          <c:tx>
            <c:strRef>
              <c:f>Sheet1!$M$17</c:f>
              <c:strCache>
                <c:ptCount val="1"/>
                <c:pt idx="0">
                  <c:v>slice = 64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(Sheet1!$Q$18,Sheet1!$Q$19,Sheet1!$Q$20)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(Sheet1!$M$18,Sheet1!$M$19,Sheet1!$M$20)</c:f>
              <c:numCache>
                <c:formatCode>0.00E+00</c:formatCode>
                <c:ptCount val="3"/>
                <c:pt idx="0">
                  <c:v>148.92269035752949</c:v>
                </c:pt>
                <c:pt idx="1">
                  <c:v>238.97431966997007</c:v>
                </c:pt>
                <c:pt idx="2">
                  <c:v>354.30359120391068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A67-438A-BF28-50C87A4C8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019135"/>
        <c:axId val="297006655"/>
      </c:scatterChart>
      <c:valAx>
        <c:axId val="29701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06655"/>
        <c:crosses val="autoZero"/>
        <c:crossBetween val="midCat"/>
      </c:valAx>
      <c:valAx>
        <c:axId val="29700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19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480060</xdr:colOff>
      <xdr:row>21</xdr:row>
      <xdr:rowOff>19050</xdr:rowOff>
    </xdr:from>
    <xdr:to>
      <xdr:col>18</xdr:col>
      <xdr:colOff>175260</xdr:colOff>
      <xdr:row>36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workbookViewId="0">
      <selection sqref="A1:E13"/>
    </sheetView>
  </sheetViews>
  <sheetFormatPr defaultRowHeight="14.4" x14ac:dyDescent="0.3"/>
  <cols>
    <col min="3" max="3" width="20.77734375" customWidth="1"/>
    <col min="4" max="4" width="25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8</v>
      </c>
      <c r="B2">
        <v>10000</v>
      </c>
      <c r="C2" s="1">
        <v>552.95996093999997</v>
      </c>
      <c r="D2" s="1">
        <v>2086.6</v>
      </c>
      <c r="E2" s="1">
        <f xml:space="preserve"> D2 / C2</f>
        <v>3.7735101045162485</v>
      </c>
    </row>
    <row r="3" spans="1:5" x14ac:dyDescent="0.3">
      <c r="A3">
        <v>8</v>
      </c>
      <c r="B3">
        <v>100000</v>
      </c>
      <c r="C3" s="1">
        <v>1400.8320312000001</v>
      </c>
      <c r="D3" s="1">
        <v>27639.200000000001</v>
      </c>
      <c r="E3" s="1">
        <f xml:space="preserve"> D3 / C3</f>
        <v>19.730559684820548</v>
      </c>
    </row>
    <row r="4" spans="1:5" x14ac:dyDescent="0.3">
      <c r="A4">
        <v>8</v>
      </c>
      <c r="B4">
        <v>1000000</v>
      </c>
      <c r="C4" s="1">
        <v>9081.0556641000003</v>
      </c>
      <c r="D4" s="1">
        <v>233783.9</v>
      </c>
      <c r="E4" s="1">
        <f xml:space="preserve"> D4 / C4</f>
        <v>25.744132471758139</v>
      </c>
    </row>
    <row r="5" spans="1:5" x14ac:dyDescent="0.3">
      <c r="A5">
        <v>16</v>
      </c>
      <c r="B5">
        <v>10000</v>
      </c>
      <c r="C5" s="1">
        <v>519.35998534999999</v>
      </c>
      <c r="D5" s="1">
        <v>7960.6</v>
      </c>
      <c r="E5" s="1">
        <f xml:space="preserve"> D5 / C5</f>
        <v>15.32771146131965</v>
      </c>
    </row>
    <row r="6" spans="1:5" x14ac:dyDescent="0.3">
      <c r="A6">
        <v>16</v>
      </c>
      <c r="B6">
        <v>100000</v>
      </c>
      <c r="C6" s="1">
        <v>1344.223999</v>
      </c>
      <c r="D6" s="1">
        <v>81692.600000000006</v>
      </c>
      <c r="E6" s="1">
        <f xml:space="preserve"> D6 / C6</f>
        <v>60.773055726406504</v>
      </c>
    </row>
    <row r="7" spans="1:5" x14ac:dyDescent="0.3">
      <c r="A7">
        <v>16</v>
      </c>
      <c r="B7">
        <v>1000000</v>
      </c>
      <c r="C7" s="1">
        <v>13427.712890999999</v>
      </c>
      <c r="D7" s="1">
        <v>777814.2</v>
      </c>
      <c r="E7" s="1">
        <f xml:space="preserve"> D7 / C7</f>
        <v>57.926037465496776</v>
      </c>
    </row>
    <row r="8" spans="1:5" x14ac:dyDescent="0.3">
      <c r="A8">
        <v>32</v>
      </c>
      <c r="B8">
        <v>10000</v>
      </c>
      <c r="C8" s="1">
        <v>579.68005371000004</v>
      </c>
      <c r="D8" s="1">
        <v>28248.6</v>
      </c>
      <c r="E8" s="1">
        <f xml:space="preserve"> D8 / C8</f>
        <v>48.731364516006089</v>
      </c>
    </row>
    <row r="9" spans="1:5" x14ac:dyDescent="0.3">
      <c r="A9">
        <v>32</v>
      </c>
      <c r="B9">
        <v>100000</v>
      </c>
      <c r="C9" s="1">
        <v>2125.8559570000002</v>
      </c>
      <c r="D9" s="1">
        <v>303224.40000000002</v>
      </c>
      <c r="E9" s="1">
        <f xml:space="preserve"> D9 / C9</f>
        <v>142.6363808900341</v>
      </c>
    </row>
    <row r="10" spans="1:5" x14ac:dyDescent="0.3">
      <c r="A10">
        <v>32</v>
      </c>
      <c r="B10">
        <v>1000000</v>
      </c>
      <c r="C10" s="1">
        <v>13162.015625</v>
      </c>
      <c r="D10" s="1">
        <v>2965952.5</v>
      </c>
      <c r="E10" s="1">
        <f xml:space="preserve"> D10 / C10</f>
        <v>225.34181576007663</v>
      </c>
    </row>
    <row r="11" spans="1:5" x14ac:dyDescent="0.3">
      <c r="A11">
        <v>64</v>
      </c>
      <c r="B11">
        <v>10000</v>
      </c>
      <c r="C11" s="1">
        <v>886.55999756000006</v>
      </c>
      <c r="D11" s="1">
        <v>132028.9</v>
      </c>
      <c r="E11" s="1">
        <f xml:space="preserve"> D11 / C11</f>
        <v>148.92269035752949</v>
      </c>
    </row>
    <row r="12" spans="1:5" x14ac:dyDescent="0.3">
      <c r="A12">
        <v>64</v>
      </c>
      <c r="B12">
        <v>100000</v>
      </c>
      <c r="C12" s="1">
        <v>5176.9282227000003</v>
      </c>
      <c r="D12" s="1">
        <v>1237152.8999999999</v>
      </c>
      <c r="E12" s="1">
        <f xml:space="preserve"> D12 / C12</f>
        <v>238.97431966997007</v>
      </c>
    </row>
    <row r="13" spans="1:5" x14ac:dyDescent="0.3">
      <c r="A13">
        <v>64</v>
      </c>
      <c r="B13">
        <v>1000000</v>
      </c>
      <c r="C13" s="1">
        <v>35489.792969000002</v>
      </c>
      <c r="D13" s="1">
        <v>12574161.1</v>
      </c>
      <c r="E13" s="1">
        <f xml:space="preserve"> D13 / C13</f>
        <v>354.30359120391068</v>
      </c>
    </row>
    <row r="17" spans="7:17" x14ac:dyDescent="0.3">
      <c r="G17" t="s">
        <v>0</v>
      </c>
      <c r="H17" t="s">
        <v>1</v>
      </c>
      <c r="I17" t="str">
        <f t="shared" ref="I17:I29" si="0">E1</f>
        <v>SpeedUP</v>
      </c>
      <c r="M17" t="s">
        <v>5</v>
      </c>
      <c r="N17" t="s">
        <v>6</v>
      </c>
      <c r="O17" t="s">
        <v>7</v>
      </c>
      <c r="P17" t="s">
        <v>8</v>
      </c>
      <c r="Q17" t="s">
        <v>1</v>
      </c>
    </row>
    <row r="18" spans="7:17" x14ac:dyDescent="0.3">
      <c r="G18">
        <v>8</v>
      </c>
      <c r="H18">
        <v>10000</v>
      </c>
      <c r="I18" s="1">
        <f t="shared" si="0"/>
        <v>3.7735101045162485</v>
      </c>
      <c r="M18" s="1">
        <f t="shared" ref="M18:M20" si="1">I27</f>
        <v>148.92269035752949</v>
      </c>
      <c r="N18" s="1">
        <f t="shared" ref="N18:N20" si="2">I24</f>
        <v>48.731364516006089</v>
      </c>
      <c r="O18" s="1">
        <f t="shared" ref="O18:O20" si="3">I21</f>
        <v>15.32771146131965</v>
      </c>
      <c r="P18" s="1">
        <f t="shared" ref="P18:P20" si="4">I18</f>
        <v>3.7735101045162485</v>
      </c>
      <c r="Q18">
        <v>10000</v>
      </c>
    </row>
    <row r="19" spans="7:17" x14ac:dyDescent="0.3">
      <c r="G19">
        <v>8</v>
      </c>
      <c r="H19">
        <v>100000</v>
      </c>
      <c r="I19" s="1">
        <f t="shared" si="0"/>
        <v>19.730559684820548</v>
      </c>
      <c r="M19" s="1">
        <f t="shared" si="1"/>
        <v>238.97431966997007</v>
      </c>
      <c r="N19" s="1">
        <f t="shared" si="2"/>
        <v>142.6363808900341</v>
      </c>
      <c r="O19" s="1">
        <f t="shared" si="3"/>
        <v>60.773055726406504</v>
      </c>
      <c r="P19" s="1">
        <f t="shared" si="4"/>
        <v>19.730559684820548</v>
      </c>
      <c r="Q19">
        <v>100000</v>
      </c>
    </row>
    <row r="20" spans="7:17" x14ac:dyDescent="0.3">
      <c r="G20">
        <v>8</v>
      </c>
      <c r="H20">
        <v>1000000</v>
      </c>
      <c r="I20" s="1">
        <f t="shared" si="0"/>
        <v>25.744132471758139</v>
      </c>
      <c r="M20" s="1">
        <f t="shared" si="1"/>
        <v>354.30359120391068</v>
      </c>
      <c r="N20" s="1">
        <f t="shared" si="2"/>
        <v>225.34181576007663</v>
      </c>
      <c r="O20" s="1">
        <f t="shared" si="3"/>
        <v>57.926037465496776</v>
      </c>
      <c r="P20" s="1">
        <f t="shared" si="4"/>
        <v>25.744132471758139</v>
      </c>
      <c r="Q20">
        <v>1000000</v>
      </c>
    </row>
    <row r="21" spans="7:17" x14ac:dyDescent="0.3">
      <c r="G21">
        <v>16</v>
      </c>
      <c r="H21">
        <v>10000</v>
      </c>
      <c r="I21" s="1">
        <f t="shared" si="0"/>
        <v>15.32771146131965</v>
      </c>
    </row>
    <row r="22" spans="7:17" x14ac:dyDescent="0.3">
      <c r="G22">
        <v>16</v>
      </c>
      <c r="H22">
        <v>100000</v>
      </c>
      <c r="I22" s="1">
        <f t="shared" si="0"/>
        <v>60.773055726406504</v>
      </c>
    </row>
    <row r="23" spans="7:17" x14ac:dyDescent="0.3">
      <c r="G23">
        <v>16</v>
      </c>
      <c r="H23">
        <v>1000000</v>
      </c>
      <c r="I23" s="1">
        <f t="shared" si="0"/>
        <v>57.926037465496776</v>
      </c>
    </row>
    <row r="24" spans="7:17" x14ac:dyDescent="0.3">
      <c r="G24">
        <v>32</v>
      </c>
      <c r="H24">
        <v>10000</v>
      </c>
      <c r="I24" s="1">
        <f t="shared" si="0"/>
        <v>48.731364516006089</v>
      </c>
    </row>
    <row r="25" spans="7:17" x14ac:dyDescent="0.3">
      <c r="G25">
        <v>32</v>
      </c>
      <c r="H25">
        <v>100000</v>
      </c>
      <c r="I25" s="1">
        <f t="shared" si="0"/>
        <v>142.6363808900341</v>
      </c>
    </row>
    <row r="26" spans="7:17" x14ac:dyDescent="0.3">
      <c r="G26">
        <v>32</v>
      </c>
      <c r="H26">
        <v>1000000</v>
      </c>
      <c r="I26" s="1">
        <f t="shared" si="0"/>
        <v>225.34181576007663</v>
      </c>
    </row>
    <row r="27" spans="7:17" x14ac:dyDescent="0.3">
      <c r="G27">
        <v>64</v>
      </c>
      <c r="H27">
        <v>10000</v>
      </c>
      <c r="I27" s="1">
        <f t="shared" si="0"/>
        <v>148.92269035752949</v>
      </c>
    </row>
    <row r="28" spans="7:17" x14ac:dyDescent="0.3">
      <c r="G28">
        <v>64</v>
      </c>
      <c r="H28">
        <v>100000</v>
      </c>
      <c r="I28" s="1">
        <f t="shared" si="0"/>
        <v>238.97431966997007</v>
      </c>
    </row>
    <row r="29" spans="7:17" x14ac:dyDescent="0.3">
      <c r="G29">
        <v>64</v>
      </c>
      <c r="H29">
        <v>1000000</v>
      </c>
      <c r="I29" s="1">
        <f t="shared" si="0"/>
        <v>354.30359120391068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2026-08-14T09:29:24Z</dcterms:modified>
</cp:coreProperties>
</file>