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aria\term_8\concurrency\HW4\CUDA-Lagrange-Interpolation\"/>
    </mc:Choice>
  </mc:AlternateContent>
  <bookViews>
    <workbookView xWindow="0" yWindow="0" windowWidth="28800" windowHeight="12312"/>
  </bookViews>
  <sheets>
    <sheet name="block_effect" sheetId="1" r:id="rId1"/>
  </sheets>
  <calcPr calcId="0"/>
</workbook>
</file>

<file path=xl/calcChain.xml><?xml version="1.0" encoding="utf-8"?>
<calcChain xmlns="http://schemas.openxmlformats.org/spreadsheetml/2006/main">
  <c r="Q49" i="1" l="1"/>
  <c r="Q50" i="1"/>
  <c r="Q51" i="1"/>
  <c r="Q52" i="1"/>
  <c r="R49" i="1"/>
  <c r="R50" i="1"/>
  <c r="R51" i="1"/>
  <c r="R52" i="1"/>
  <c r="S49" i="1"/>
  <c r="S50" i="1"/>
  <c r="S51" i="1"/>
  <c r="S52" i="1"/>
  <c r="T49" i="1"/>
  <c r="T50" i="1"/>
  <c r="T51" i="1"/>
  <c r="T52" i="1"/>
  <c r="U49" i="1"/>
  <c r="U50" i="1"/>
  <c r="U51" i="1"/>
  <c r="U52" i="1"/>
  <c r="Q48" i="1"/>
  <c r="R48" i="1"/>
  <c r="S48" i="1"/>
  <c r="T48" i="1"/>
  <c r="U48" i="1"/>
  <c r="K61" i="1"/>
  <c r="L61" i="1"/>
  <c r="M61" i="1"/>
  <c r="N61" i="1"/>
  <c r="O61" i="1"/>
  <c r="P61" i="1"/>
  <c r="K62" i="1"/>
  <c r="L62" i="1"/>
  <c r="M62" i="1"/>
  <c r="N62" i="1"/>
  <c r="O62" i="1"/>
  <c r="P62" i="1"/>
  <c r="K63" i="1"/>
  <c r="L63" i="1"/>
  <c r="M63" i="1"/>
  <c r="N63" i="1"/>
  <c r="O63" i="1"/>
  <c r="P63" i="1"/>
  <c r="K64" i="1"/>
  <c r="L64" i="1"/>
  <c r="M64" i="1"/>
  <c r="N64" i="1"/>
  <c r="O64" i="1"/>
  <c r="P64" i="1"/>
  <c r="K57" i="1"/>
  <c r="L57" i="1"/>
  <c r="M57" i="1"/>
  <c r="N57" i="1"/>
  <c r="O57" i="1"/>
  <c r="P57" i="1"/>
  <c r="K58" i="1"/>
  <c r="L58" i="1"/>
  <c r="M58" i="1"/>
  <c r="N58" i="1"/>
  <c r="O58" i="1"/>
  <c r="P58" i="1"/>
  <c r="K59" i="1"/>
  <c r="L59" i="1"/>
  <c r="M59" i="1"/>
  <c r="N59" i="1"/>
  <c r="O59" i="1"/>
  <c r="P59" i="1"/>
  <c r="K60" i="1"/>
  <c r="L60" i="1"/>
  <c r="M60" i="1"/>
  <c r="N60" i="1"/>
  <c r="O60" i="1"/>
  <c r="P60" i="1"/>
  <c r="K53" i="1"/>
  <c r="L53" i="1"/>
  <c r="M53" i="1"/>
  <c r="N53" i="1"/>
  <c r="O53" i="1"/>
  <c r="P53" i="1"/>
  <c r="K54" i="1"/>
  <c r="L54" i="1"/>
  <c r="M54" i="1"/>
  <c r="N54" i="1"/>
  <c r="O54" i="1"/>
  <c r="P54" i="1"/>
  <c r="K55" i="1"/>
  <c r="L55" i="1"/>
  <c r="M55" i="1"/>
  <c r="N55" i="1"/>
  <c r="O55" i="1"/>
  <c r="P55" i="1"/>
  <c r="K56" i="1"/>
  <c r="L56" i="1"/>
  <c r="M56" i="1"/>
  <c r="N56" i="1"/>
  <c r="O56" i="1"/>
  <c r="P56" i="1"/>
  <c r="K49" i="1"/>
  <c r="L49" i="1"/>
  <c r="M49" i="1"/>
  <c r="N49" i="1"/>
  <c r="O49" i="1"/>
  <c r="P49" i="1"/>
  <c r="K50" i="1"/>
  <c r="L50" i="1"/>
  <c r="M50" i="1"/>
  <c r="N50" i="1"/>
  <c r="O50" i="1"/>
  <c r="P50" i="1"/>
  <c r="K51" i="1"/>
  <c r="L51" i="1"/>
  <c r="M51" i="1"/>
  <c r="N51" i="1"/>
  <c r="O51" i="1"/>
  <c r="P51" i="1"/>
  <c r="K52" i="1"/>
  <c r="L52" i="1"/>
  <c r="M52" i="1"/>
  <c r="N52" i="1"/>
  <c r="O52" i="1"/>
  <c r="P52" i="1"/>
  <c r="K48" i="1"/>
  <c r="L48" i="1"/>
  <c r="M48" i="1"/>
  <c r="N48" i="1"/>
  <c r="O48" i="1"/>
  <c r="P48" i="1"/>
  <c r="Q28" i="1"/>
  <c r="Q29" i="1"/>
  <c r="Q30" i="1"/>
  <c r="Q31" i="1"/>
  <c r="R28" i="1"/>
  <c r="R29" i="1"/>
  <c r="R30" i="1"/>
  <c r="R31" i="1"/>
  <c r="S28" i="1"/>
  <c r="S29" i="1"/>
  <c r="S30" i="1"/>
  <c r="S31" i="1"/>
  <c r="T28" i="1"/>
  <c r="T29" i="1"/>
  <c r="T30" i="1"/>
  <c r="T31" i="1"/>
  <c r="U28" i="1"/>
  <c r="U29" i="1"/>
  <c r="U30" i="1"/>
  <c r="U31" i="1"/>
  <c r="Q27" i="1"/>
  <c r="R27" i="1"/>
  <c r="S27" i="1"/>
  <c r="T27" i="1"/>
  <c r="U27" i="1"/>
  <c r="K40" i="1"/>
  <c r="L40" i="1"/>
  <c r="M40" i="1"/>
  <c r="N40" i="1"/>
  <c r="O40" i="1"/>
  <c r="P40" i="1"/>
  <c r="K41" i="1"/>
  <c r="L41" i="1"/>
  <c r="M41" i="1"/>
  <c r="N41" i="1"/>
  <c r="O41" i="1"/>
  <c r="P41" i="1"/>
  <c r="K42" i="1"/>
  <c r="L42" i="1"/>
  <c r="M42" i="1"/>
  <c r="N42" i="1"/>
  <c r="O42" i="1"/>
  <c r="P42" i="1"/>
  <c r="K43" i="1"/>
  <c r="L43" i="1"/>
  <c r="M43" i="1"/>
  <c r="N43" i="1"/>
  <c r="O43" i="1"/>
  <c r="P43" i="1"/>
  <c r="K36" i="1"/>
  <c r="L36" i="1"/>
  <c r="M36" i="1"/>
  <c r="N36" i="1"/>
  <c r="O36" i="1"/>
  <c r="P36" i="1"/>
  <c r="K37" i="1"/>
  <c r="L37" i="1"/>
  <c r="M37" i="1"/>
  <c r="N37" i="1"/>
  <c r="O37" i="1"/>
  <c r="P37" i="1"/>
  <c r="K38" i="1"/>
  <c r="L38" i="1"/>
  <c r="M38" i="1"/>
  <c r="N38" i="1"/>
  <c r="O38" i="1"/>
  <c r="P38" i="1"/>
  <c r="K39" i="1"/>
  <c r="L39" i="1"/>
  <c r="M39" i="1"/>
  <c r="N39" i="1"/>
  <c r="O39" i="1"/>
  <c r="P39" i="1"/>
  <c r="K32" i="1"/>
  <c r="L32" i="1"/>
  <c r="M32" i="1"/>
  <c r="N32" i="1"/>
  <c r="O32" i="1"/>
  <c r="P32" i="1"/>
  <c r="K33" i="1"/>
  <c r="L33" i="1"/>
  <c r="M33" i="1"/>
  <c r="N33" i="1"/>
  <c r="O33" i="1"/>
  <c r="P33" i="1"/>
  <c r="K34" i="1"/>
  <c r="L34" i="1"/>
  <c r="M34" i="1"/>
  <c r="N34" i="1"/>
  <c r="O34" i="1"/>
  <c r="P34" i="1"/>
  <c r="K35" i="1"/>
  <c r="L35" i="1"/>
  <c r="M35" i="1"/>
  <c r="N35" i="1"/>
  <c r="O35" i="1"/>
  <c r="P35" i="1"/>
  <c r="K28" i="1"/>
  <c r="L28" i="1"/>
  <c r="M28" i="1"/>
  <c r="N28" i="1"/>
  <c r="O28" i="1"/>
  <c r="P28" i="1"/>
  <c r="K29" i="1"/>
  <c r="L29" i="1"/>
  <c r="M29" i="1"/>
  <c r="N29" i="1"/>
  <c r="O29" i="1"/>
  <c r="P29" i="1"/>
  <c r="K30" i="1"/>
  <c r="L30" i="1"/>
  <c r="M30" i="1"/>
  <c r="N30" i="1"/>
  <c r="O30" i="1"/>
  <c r="P30" i="1"/>
  <c r="K31" i="1"/>
  <c r="L31" i="1"/>
  <c r="M31" i="1"/>
  <c r="N31" i="1"/>
  <c r="O31" i="1"/>
  <c r="P31" i="1"/>
  <c r="K27" i="1"/>
  <c r="L27" i="1"/>
  <c r="M27" i="1"/>
  <c r="N27" i="1"/>
  <c r="O27" i="1"/>
  <c r="P27" i="1"/>
  <c r="N5" i="1"/>
  <c r="Q6" i="1"/>
  <c r="Q7" i="1"/>
  <c r="Q8" i="1"/>
  <c r="Q9" i="1"/>
  <c r="R6" i="1"/>
  <c r="R7" i="1"/>
  <c r="R8" i="1"/>
  <c r="R9" i="1"/>
  <c r="S6" i="1"/>
  <c r="S7" i="1"/>
  <c r="S8" i="1"/>
  <c r="S9" i="1"/>
  <c r="T6" i="1"/>
  <c r="T7" i="1"/>
  <c r="T8" i="1"/>
  <c r="T9" i="1"/>
  <c r="U5" i="1"/>
  <c r="U6" i="1"/>
  <c r="U7" i="1"/>
  <c r="U8" i="1"/>
  <c r="U9" i="1"/>
  <c r="K14" i="1"/>
  <c r="L14" i="1"/>
  <c r="M14" i="1"/>
  <c r="N14" i="1"/>
  <c r="O14" i="1"/>
  <c r="P14" i="1"/>
  <c r="K15" i="1"/>
  <c r="L15" i="1"/>
  <c r="M15" i="1"/>
  <c r="N15" i="1"/>
  <c r="O15" i="1"/>
  <c r="P15" i="1"/>
  <c r="K16" i="1"/>
  <c r="L16" i="1"/>
  <c r="M16" i="1"/>
  <c r="N16" i="1"/>
  <c r="O16" i="1"/>
  <c r="P16" i="1"/>
  <c r="K17" i="1"/>
  <c r="L17" i="1"/>
  <c r="M17" i="1"/>
  <c r="N17" i="1"/>
  <c r="O17" i="1"/>
  <c r="P17" i="1"/>
  <c r="K10" i="1"/>
  <c r="L10" i="1"/>
  <c r="M10" i="1"/>
  <c r="N10" i="1"/>
  <c r="O10" i="1"/>
  <c r="P10" i="1"/>
  <c r="K11" i="1"/>
  <c r="L11" i="1"/>
  <c r="M11" i="1"/>
  <c r="N11" i="1"/>
  <c r="O11" i="1"/>
  <c r="P11" i="1"/>
  <c r="K12" i="1"/>
  <c r="L12" i="1"/>
  <c r="M12" i="1"/>
  <c r="N12" i="1"/>
  <c r="O12" i="1"/>
  <c r="P12" i="1"/>
  <c r="K13" i="1"/>
  <c r="L13" i="1"/>
  <c r="M13" i="1"/>
  <c r="N13" i="1"/>
  <c r="O13" i="1"/>
  <c r="P13" i="1"/>
  <c r="K5" i="1"/>
  <c r="L5" i="1"/>
  <c r="M5" i="1"/>
  <c r="O5" i="1"/>
  <c r="P5" i="1"/>
  <c r="K6" i="1"/>
  <c r="L6" i="1"/>
  <c r="M6" i="1"/>
  <c r="N6" i="1"/>
  <c r="O6" i="1"/>
  <c r="P6" i="1"/>
  <c r="K7" i="1"/>
  <c r="L7" i="1"/>
  <c r="M7" i="1"/>
  <c r="N7" i="1"/>
  <c r="O7" i="1"/>
  <c r="P7" i="1"/>
  <c r="K8" i="1"/>
  <c r="L8" i="1"/>
  <c r="M8" i="1"/>
  <c r="N8" i="1"/>
  <c r="O8" i="1"/>
  <c r="P8" i="1"/>
  <c r="K9" i="1"/>
  <c r="L9" i="1"/>
  <c r="M9" i="1"/>
  <c r="N9" i="1"/>
  <c r="O9" i="1"/>
  <c r="P9" i="1"/>
</calcChain>
</file>

<file path=xl/sharedStrings.xml><?xml version="1.0" encoding="utf-8"?>
<sst xmlns="http://schemas.openxmlformats.org/spreadsheetml/2006/main" count="62" uniqueCount="11">
  <si>
    <t>slice_number</t>
  </si>
  <si>
    <t>block_size</t>
  </si>
  <si>
    <t>query_num</t>
  </si>
  <si>
    <t>elapsed(us)</t>
  </si>
  <si>
    <t>mean_error</t>
  </si>
  <si>
    <t>version</t>
  </si>
  <si>
    <t>CUDA</t>
  </si>
  <si>
    <t>slice = 64</t>
  </si>
  <si>
    <t>slice = 32</t>
  </si>
  <si>
    <t>slice = 16</t>
  </si>
  <si>
    <t>slice =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</si>
</sst>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Query_num = 10000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block_effect!$T$5</c:f>
              <c:strCache>
                <c:ptCount val="1"/>
                <c:pt idx="0">
                  <c:v>slice = 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(block_effect!$U$6,block_effect!$U$7,block_effect!$U$8,block_effect!$U$9)</c:f>
              <c:numCache>
                <c:formatCode>General</c:formatCode>
                <c:ptCount val="4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(block_effect!$T$6,block_effect!$T$7,block_effect!$T$8,block_effect!$T$9)</c:f>
              <c:numCache>
                <c:formatCode>General</c:formatCode>
                <c:ptCount val="4"/>
                <c:pt idx="0">
                  <c:v>148000</c:v>
                </c:pt>
                <c:pt idx="1">
                  <c:v>496</c:v>
                </c:pt>
                <c:pt idx="2">
                  <c:v>730</c:v>
                </c:pt>
                <c:pt idx="3">
                  <c:v>1050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63C-4C92-A42F-AC9DC4F6669D}"/>
            </c:ext>
          </c:extLst>
        </c:ser>
        <c:ser>
          <c:idx val="1"/>
          <c:order val="1"/>
          <c:tx>
            <c:strRef>
              <c:f>block_effect!$S$5</c:f>
              <c:strCache>
                <c:ptCount val="1"/>
                <c:pt idx="0">
                  <c:v>slice = 16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(block_effect!$U$6,block_effect!$U$7,block_effect!$U$8,block_effect!$U$9)</c:f>
              <c:numCache>
                <c:formatCode>General</c:formatCode>
                <c:ptCount val="4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(block_effect!$S$6,block_effect!$S$7,block_effect!$S$8,block_effect!$S$9)</c:f>
              <c:numCache>
                <c:formatCode>General</c:formatCode>
                <c:ptCount val="4"/>
                <c:pt idx="0">
                  <c:v>524</c:v>
                </c:pt>
                <c:pt idx="1">
                  <c:v>705</c:v>
                </c:pt>
                <c:pt idx="2">
                  <c:v>867</c:v>
                </c:pt>
                <c:pt idx="3">
                  <c:v>1350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63C-4C92-A42F-AC9DC4F6669D}"/>
            </c:ext>
          </c:extLst>
        </c:ser>
        <c:ser>
          <c:idx val="2"/>
          <c:order val="2"/>
          <c:tx>
            <c:strRef>
              <c:f>block_effect!$R$5</c:f>
              <c:strCache>
                <c:ptCount val="1"/>
                <c:pt idx="0">
                  <c:v>slice = 32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(block_effect!$U$6,block_effect!$U$7,block_effect!$U$8,block_effect!$U$9)</c:f>
              <c:numCache>
                <c:formatCode>General</c:formatCode>
                <c:ptCount val="4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(block_effect!$R$6,block_effect!$R$7,block_effect!$R$8,block_effect!$R$9)</c:f>
              <c:numCache>
                <c:formatCode>General</c:formatCode>
                <c:ptCount val="4"/>
                <c:pt idx="0">
                  <c:v>626</c:v>
                </c:pt>
                <c:pt idx="1">
                  <c:v>682</c:v>
                </c:pt>
                <c:pt idx="2">
                  <c:v>1210</c:v>
                </c:pt>
                <c:pt idx="3">
                  <c:v>1240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63C-4C92-A42F-AC9DC4F6669D}"/>
            </c:ext>
          </c:extLst>
        </c:ser>
        <c:ser>
          <c:idx val="3"/>
          <c:order val="3"/>
          <c:tx>
            <c:strRef>
              <c:f>block_effect!$Q$5</c:f>
              <c:strCache>
                <c:ptCount val="1"/>
                <c:pt idx="0">
                  <c:v>slice = 64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(block_effect!$U$6,block_effect!$U$7,block_effect!$U$8,block_effect!$U$9)</c:f>
              <c:numCache>
                <c:formatCode>General</c:formatCode>
                <c:ptCount val="4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(block_effect!$Q$6,block_effect!$Q$7,block_effect!$Q$8,block_effect!$Q$9)</c:f>
              <c:numCache>
                <c:formatCode>0.00E+00</c:formatCode>
                <c:ptCount val="4"/>
                <c:pt idx="0">
                  <c:v>871</c:v>
                </c:pt>
                <c:pt idx="1">
                  <c:v>1080</c:v>
                </c:pt>
                <c:pt idx="2">
                  <c:v>1100</c:v>
                </c:pt>
                <c:pt idx="3">
                  <c:v>2810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63C-4C92-A42F-AC9DC4F66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727631"/>
        <c:axId val="447725967"/>
      </c:scatterChart>
      <c:valAx>
        <c:axId val="447727631"/>
        <c:scaling>
          <c:logBase val="2"/>
          <c:orientation val="minMax"/>
          <c:min val="6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block_size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725967"/>
        <c:crosses val="autoZero"/>
        <c:crossBetween val="midCat"/>
      </c:valAx>
      <c:valAx>
        <c:axId val="44772596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Time Elapsed(us)</a:t>
                </a:r>
                <a:r>
                  <a:rPr lang="en-US" sz="1000" b="1" i="0" u="none" strike="noStrike" baseline="0"/>
                  <a:t> </a:t>
                </a:r>
                <a:endParaRPr 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727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Query_num = 100000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block_effect!$T$27</c:f>
              <c:strCache>
                <c:ptCount val="1"/>
                <c:pt idx="0">
                  <c:v>slice = 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(block_effect!$U$28,block_effect!$U$29,block_effect!$U$30,block_effect!$U$31)</c:f>
              <c:numCache>
                <c:formatCode>General</c:formatCode>
                <c:ptCount val="4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(block_effect!$T$28,block_effect!$T$29,block_effect!$T$30,block_effect!$T$31)</c:f>
              <c:numCache>
                <c:formatCode>General</c:formatCode>
                <c:ptCount val="4"/>
                <c:pt idx="0">
                  <c:v>1030</c:v>
                </c:pt>
                <c:pt idx="1">
                  <c:v>1540</c:v>
                </c:pt>
                <c:pt idx="2">
                  <c:v>2580</c:v>
                </c:pt>
                <c:pt idx="3">
                  <c:v>7050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82B-4C21-8ADA-75FA2D126855}"/>
            </c:ext>
          </c:extLst>
        </c:ser>
        <c:ser>
          <c:idx val="1"/>
          <c:order val="1"/>
          <c:tx>
            <c:strRef>
              <c:f>block_effect!$S$27</c:f>
              <c:strCache>
                <c:ptCount val="1"/>
                <c:pt idx="0">
                  <c:v>slice = 16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(block_effect!$U$28,block_effect!$U$29,block_effect!$U$30,block_effect!$U$31)</c:f>
              <c:numCache>
                <c:formatCode>General</c:formatCode>
                <c:ptCount val="4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(block_effect!$S$28,block_effect!$S$29,block_effect!$S$30,block_effect!$S$31)</c:f>
              <c:numCache>
                <c:formatCode>General</c:formatCode>
                <c:ptCount val="4"/>
                <c:pt idx="0">
                  <c:v>1680</c:v>
                </c:pt>
                <c:pt idx="1">
                  <c:v>1940</c:v>
                </c:pt>
                <c:pt idx="2">
                  <c:v>3400</c:v>
                </c:pt>
                <c:pt idx="3">
                  <c:v>8540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82B-4C21-8ADA-75FA2D126855}"/>
            </c:ext>
          </c:extLst>
        </c:ser>
        <c:ser>
          <c:idx val="2"/>
          <c:order val="2"/>
          <c:tx>
            <c:strRef>
              <c:f>block_effect!$R$27</c:f>
              <c:strCache>
                <c:ptCount val="1"/>
                <c:pt idx="0">
                  <c:v>slice = 32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(block_effect!$U$28,block_effect!$U$29,block_effect!$U$30,block_effect!$U$31)</c:f>
              <c:numCache>
                <c:formatCode>General</c:formatCode>
                <c:ptCount val="4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(block_effect!$R$28,block_effect!$R$29,block_effect!$R$30,block_effect!$R$31)</c:f>
              <c:numCache>
                <c:formatCode>General</c:formatCode>
                <c:ptCount val="4"/>
                <c:pt idx="0">
                  <c:v>2380</c:v>
                </c:pt>
                <c:pt idx="1">
                  <c:v>3240</c:v>
                </c:pt>
                <c:pt idx="2">
                  <c:v>7920</c:v>
                </c:pt>
                <c:pt idx="3">
                  <c:v>9630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82B-4C21-8ADA-75FA2D126855}"/>
            </c:ext>
          </c:extLst>
        </c:ser>
        <c:ser>
          <c:idx val="3"/>
          <c:order val="3"/>
          <c:tx>
            <c:strRef>
              <c:f>block_effect!$Q$27</c:f>
              <c:strCache>
                <c:ptCount val="1"/>
                <c:pt idx="0">
                  <c:v>slice = 64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(block_effect!$U$28,block_effect!$U$29,block_effect!$U$30,block_effect!$U$31)</c:f>
              <c:numCache>
                <c:formatCode>General</c:formatCode>
                <c:ptCount val="4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(block_effect!$Q$28,block_effect!$Q$29,block_effect!$Q$30)</c:f>
              <c:numCache>
                <c:formatCode>General</c:formatCode>
                <c:ptCount val="3"/>
                <c:pt idx="0">
                  <c:v>5190</c:v>
                </c:pt>
                <c:pt idx="1">
                  <c:v>4390</c:v>
                </c:pt>
                <c:pt idx="2">
                  <c:v>12800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82B-4C21-8ADA-75FA2D126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305935"/>
        <c:axId val="593303855"/>
      </c:scatterChart>
      <c:valAx>
        <c:axId val="593305935"/>
        <c:scaling>
          <c:logBase val="2"/>
          <c:orientation val="minMax"/>
          <c:min val="6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block_size</a:t>
                </a:r>
                <a:endParaRPr 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303855"/>
        <c:crosses val="autoZero"/>
        <c:crossBetween val="midCat"/>
      </c:valAx>
      <c:valAx>
        <c:axId val="59330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Time Elapsed(us) </a:t>
                </a:r>
                <a:endParaRPr lang="en-US" sz="1000" b="1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305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Query_num = 1000000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block_effect!$T$48</c:f>
              <c:strCache>
                <c:ptCount val="1"/>
                <c:pt idx="0">
                  <c:v>slice = 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(block_effect!$U$49,block_effect!$U$50,block_effect!$U$51,block_effect!$U$52)</c:f>
              <c:numCache>
                <c:formatCode>General</c:formatCode>
                <c:ptCount val="4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(block_effect!$T$49,block_effect!$T$50,block_effect!$T$51,block_effect!$T$52)</c:f>
              <c:numCache>
                <c:formatCode>General</c:formatCode>
                <c:ptCount val="4"/>
                <c:pt idx="0">
                  <c:v>8090</c:v>
                </c:pt>
                <c:pt idx="1">
                  <c:v>15500</c:v>
                </c:pt>
                <c:pt idx="2">
                  <c:v>22600</c:v>
                </c:pt>
                <c:pt idx="3">
                  <c:v>42700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50-44EA-8A76-FE17BB116379}"/>
            </c:ext>
          </c:extLst>
        </c:ser>
        <c:ser>
          <c:idx val="1"/>
          <c:order val="1"/>
          <c:tx>
            <c:strRef>
              <c:f>block_effect!$S$48</c:f>
              <c:strCache>
                <c:ptCount val="1"/>
                <c:pt idx="0">
                  <c:v>slice = 16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(block_effect!$U$49,block_effect!$U$50,block_effect!$U$51,block_effect!$U$52)</c:f>
              <c:numCache>
                <c:formatCode>General</c:formatCode>
                <c:ptCount val="4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(block_effect!$S$49,block_effect!$S$50,block_effect!$S$51,block_effect!$S$52)</c:f>
              <c:numCache>
                <c:formatCode>General</c:formatCode>
                <c:ptCount val="4"/>
                <c:pt idx="0">
                  <c:v>9230</c:v>
                </c:pt>
                <c:pt idx="1">
                  <c:v>26100</c:v>
                </c:pt>
                <c:pt idx="2">
                  <c:v>28700</c:v>
                </c:pt>
                <c:pt idx="3">
                  <c:v>94500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50-44EA-8A76-FE17BB116379}"/>
            </c:ext>
          </c:extLst>
        </c:ser>
        <c:ser>
          <c:idx val="3"/>
          <c:order val="2"/>
          <c:tx>
            <c:strRef>
              <c:f>block_effect!$Q$48</c:f>
              <c:strCache>
                <c:ptCount val="1"/>
                <c:pt idx="0">
                  <c:v>slice = 64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(block_effect!$U$49,block_effect!$U$50,block_effect!$U$51,block_effect!$U$52)</c:f>
              <c:numCache>
                <c:formatCode>General</c:formatCode>
                <c:ptCount val="4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(block_effect!$Q$49,block_effect!$Q$50,block_effect!$Q$51,block_effect!$Q$52)</c:f>
              <c:numCache>
                <c:formatCode>General</c:formatCode>
                <c:ptCount val="4"/>
                <c:pt idx="0">
                  <c:v>34800</c:v>
                </c:pt>
                <c:pt idx="1">
                  <c:v>38900</c:v>
                </c:pt>
                <c:pt idx="2">
                  <c:v>100000</c:v>
                </c:pt>
                <c:pt idx="3">
                  <c:v>193000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F50-44EA-8A76-FE17BB116379}"/>
            </c:ext>
          </c:extLst>
        </c:ser>
        <c:ser>
          <c:idx val="2"/>
          <c:order val="3"/>
          <c:tx>
            <c:strRef>
              <c:f>block_effect!$R$48</c:f>
              <c:strCache>
                <c:ptCount val="1"/>
                <c:pt idx="0">
                  <c:v>slice = 32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(block_effect!$U$49,block_effect!$U$50,block_effect!$U$51,block_effect!$U$52)</c:f>
              <c:numCache>
                <c:formatCode>General</c:formatCode>
                <c:ptCount val="4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(block_effect!$R$49,block_effect!$R$50,block_effect!$R$51,block_effect!$R$52)</c:f>
              <c:numCache>
                <c:formatCode>General</c:formatCode>
                <c:ptCount val="4"/>
                <c:pt idx="0">
                  <c:v>21400</c:v>
                </c:pt>
                <c:pt idx="1">
                  <c:v>33500</c:v>
                </c:pt>
                <c:pt idx="2">
                  <c:v>64200</c:v>
                </c:pt>
                <c:pt idx="3">
                  <c:v>109000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F50-44EA-8A76-FE17BB116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061967"/>
        <c:axId val="592059471"/>
      </c:scatterChart>
      <c:valAx>
        <c:axId val="592061967"/>
        <c:scaling>
          <c:logBase val="2"/>
          <c:orientation val="minMax"/>
          <c:min val="6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block_size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059471"/>
        <c:crosses val="autoZero"/>
        <c:crossBetween val="midCat"/>
      </c:valAx>
      <c:valAx>
        <c:axId val="59205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Time Elapsed(us) 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061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182880</xdr:colOff>
      <xdr:row>9</xdr:row>
      <xdr:rowOff>125730</xdr:rowOff>
    </xdr:from>
    <xdr:to>
      <xdr:col>23</xdr:col>
      <xdr:colOff>487680</xdr:colOff>
      <xdr:row>24</xdr:row>
      <xdr:rowOff>125730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220980</xdr:colOff>
      <xdr:row>31</xdr:row>
      <xdr:rowOff>102870</xdr:rowOff>
    </xdr:from>
    <xdr:to>
      <xdr:col>23</xdr:col>
      <xdr:colOff>525780</xdr:colOff>
      <xdr:row>46</xdr:row>
      <xdr:rowOff>102870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32468</xdr:colOff>
      <xdr:row>52</xdr:row>
      <xdr:rowOff>92765</xdr:rowOff>
    </xdr:from>
    <xdr:to>
      <xdr:col>23</xdr:col>
      <xdr:colOff>337268</xdr:colOff>
      <xdr:row>67</xdr:row>
      <xdr:rowOff>53009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tabSelected="1" topLeftCell="A37" zoomScaleNormal="100" workbookViewId="0">
      <selection activeCell="X64" sqref="X6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1" x14ac:dyDescent="0.3">
      <c r="A2">
        <v>8</v>
      </c>
      <c r="B2">
        <v>64</v>
      </c>
      <c r="C2">
        <v>10000</v>
      </c>
      <c r="D2" s="1">
        <v>148000</v>
      </c>
      <c r="E2" s="1">
        <v>5.5500000000000002E-6</v>
      </c>
      <c r="F2" t="s">
        <v>6</v>
      </c>
    </row>
    <row r="3" spans="1:21" x14ac:dyDescent="0.3">
      <c r="A3">
        <v>8</v>
      </c>
      <c r="B3">
        <v>128</v>
      </c>
      <c r="C3">
        <v>10000</v>
      </c>
      <c r="D3" s="1">
        <v>496</v>
      </c>
      <c r="E3" s="1">
        <v>5.5500000000000002E-6</v>
      </c>
      <c r="F3" t="s">
        <v>6</v>
      </c>
    </row>
    <row r="4" spans="1:21" x14ac:dyDescent="0.3">
      <c r="A4">
        <v>8</v>
      </c>
      <c r="B4">
        <v>256</v>
      </c>
      <c r="C4">
        <v>10000</v>
      </c>
      <c r="D4" s="1">
        <v>730</v>
      </c>
      <c r="E4" s="1">
        <v>5.5500000000000002E-6</v>
      </c>
      <c r="F4" t="s">
        <v>6</v>
      </c>
    </row>
    <row r="5" spans="1:21" x14ac:dyDescent="0.3">
      <c r="A5">
        <v>8</v>
      </c>
      <c r="B5">
        <v>512</v>
      </c>
      <c r="C5">
        <v>10000</v>
      </c>
      <c r="D5" s="1">
        <v>1050</v>
      </c>
      <c r="E5" s="1">
        <v>5.5500000000000002E-6</v>
      </c>
      <c r="F5" t="s">
        <v>6</v>
      </c>
      <c r="K5" t="str">
        <f t="shared" ref="K5:P9" si="0">A1</f>
        <v>slice_number</v>
      </c>
      <c r="L5" t="str">
        <f t="shared" si="0"/>
        <v>block_size</v>
      </c>
      <c r="M5" t="str">
        <f t="shared" si="0"/>
        <v>query_num</v>
      </c>
      <c r="N5" t="str">
        <f t="shared" si="0"/>
        <v>elapsed(us)</v>
      </c>
      <c r="O5" t="str">
        <f t="shared" si="0"/>
        <v>mean_error</v>
      </c>
      <c r="P5" t="str">
        <f t="shared" si="0"/>
        <v>version</v>
      </c>
      <c r="Q5" t="s">
        <v>7</v>
      </c>
      <c r="R5" t="s">
        <v>8</v>
      </c>
      <c r="S5" t="s">
        <v>9</v>
      </c>
      <c r="T5" t="s">
        <v>10</v>
      </c>
      <c r="U5" t="str">
        <f>L5</f>
        <v>block_size</v>
      </c>
    </row>
    <row r="6" spans="1:21" x14ac:dyDescent="0.3">
      <c r="A6">
        <v>8</v>
      </c>
      <c r="B6">
        <v>64</v>
      </c>
      <c r="C6">
        <v>100000</v>
      </c>
      <c r="D6" s="1">
        <v>1030</v>
      </c>
      <c r="E6" s="1">
        <v>5.5500000000000002E-6</v>
      </c>
      <c r="F6" t="s">
        <v>6</v>
      </c>
      <c r="K6">
        <f t="shared" si="0"/>
        <v>8</v>
      </c>
      <c r="L6">
        <f t="shared" si="0"/>
        <v>64</v>
      </c>
      <c r="M6">
        <f t="shared" si="0"/>
        <v>10000</v>
      </c>
      <c r="N6">
        <f t="shared" si="0"/>
        <v>148000</v>
      </c>
      <c r="O6">
        <f t="shared" si="0"/>
        <v>5.5500000000000002E-6</v>
      </c>
      <c r="P6" t="str">
        <f t="shared" si="0"/>
        <v>CUDA</v>
      </c>
      <c r="Q6" s="1">
        <f>N18</f>
        <v>871</v>
      </c>
      <c r="R6">
        <f>N14</f>
        <v>626</v>
      </c>
      <c r="S6">
        <f>N10</f>
        <v>524</v>
      </c>
      <c r="T6">
        <f>N6</f>
        <v>148000</v>
      </c>
      <c r="U6">
        <f>L6</f>
        <v>64</v>
      </c>
    </row>
    <row r="7" spans="1:21" x14ac:dyDescent="0.3">
      <c r="A7">
        <v>8</v>
      </c>
      <c r="B7">
        <v>128</v>
      </c>
      <c r="C7">
        <v>100000</v>
      </c>
      <c r="D7" s="1">
        <v>1540</v>
      </c>
      <c r="E7" s="1">
        <v>5.5500000000000002E-6</v>
      </c>
      <c r="F7" t="s">
        <v>6</v>
      </c>
      <c r="K7">
        <f t="shared" si="0"/>
        <v>8</v>
      </c>
      <c r="L7">
        <f t="shared" si="0"/>
        <v>128</v>
      </c>
      <c r="M7">
        <f t="shared" si="0"/>
        <v>10000</v>
      </c>
      <c r="N7">
        <f t="shared" si="0"/>
        <v>496</v>
      </c>
      <c r="O7">
        <f t="shared" si="0"/>
        <v>5.5500000000000002E-6</v>
      </c>
      <c r="P7" t="str">
        <f t="shared" si="0"/>
        <v>CUDA</v>
      </c>
      <c r="Q7" s="1">
        <f>N19</f>
        <v>1080</v>
      </c>
      <c r="R7">
        <f>N15</f>
        <v>682</v>
      </c>
      <c r="S7">
        <f>N11</f>
        <v>705</v>
      </c>
      <c r="T7">
        <f>N7</f>
        <v>496</v>
      </c>
      <c r="U7">
        <f>L7</f>
        <v>128</v>
      </c>
    </row>
    <row r="8" spans="1:21" x14ac:dyDescent="0.3">
      <c r="A8">
        <v>8</v>
      </c>
      <c r="B8">
        <v>256</v>
      </c>
      <c r="C8">
        <v>100000</v>
      </c>
      <c r="D8" s="1">
        <v>2580</v>
      </c>
      <c r="E8" s="1">
        <v>5.5500000000000002E-6</v>
      </c>
      <c r="F8" t="s">
        <v>6</v>
      </c>
      <c r="K8">
        <f t="shared" si="0"/>
        <v>8</v>
      </c>
      <c r="L8">
        <f t="shared" si="0"/>
        <v>256</v>
      </c>
      <c r="M8">
        <f t="shared" si="0"/>
        <v>10000</v>
      </c>
      <c r="N8">
        <f t="shared" si="0"/>
        <v>730</v>
      </c>
      <c r="O8">
        <f t="shared" si="0"/>
        <v>5.5500000000000002E-6</v>
      </c>
      <c r="P8" t="str">
        <f t="shared" si="0"/>
        <v>CUDA</v>
      </c>
      <c r="Q8" s="1">
        <f>N20</f>
        <v>1100</v>
      </c>
      <c r="R8">
        <f>N16</f>
        <v>1210</v>
      </c>
      <c r="S8">
        <f>N12</f>
        <v>867</v>
      </c>
      <c r="T8">
        <f>N8</f>
        <v>730</v>
      </c>
      <c r="U8">
        <f>L8</f>
        <v>256</v>
      </c>
    </row>
    <row r="9" spans="1:21" x14ac:dyDescent="0.3">
      <c r="A9">
        <v>8</v>
      </c>
      <c r="B9">
        <v>512</v>
      </c>
      <c r="C9">
        <v>100000</v>
      </c>
      <c r="D9" s="1">
        <v>7050</v>
      </c>
      <c r="E9" s="1">
        <v>5.5500000000000002E-6</v>
      </c>
      <c r="F9" t="s">
        <v>6</v>
      </c>
      <c r="K9">
        <f t="shared" si="0"/>
        <v>8</v>
      </c>
      <c r="L9">
        <f t="shared" si="0"/>
        <v>512</v>
      </c>
      <c r="M9">
        <f t="shared" si="0"/>
        <v>10000</v>
      </c>
      <c r="N9">
        <f t="shared" si="0"/>
        <v>1050</v>
      </c>
      <c r="O9">
        <f t="shared" si="0"/>
        <v>5.5500000000000002E-6</v>
      </c>
      <c r="P9" t="str">
        <f t="shared" si="0"/>
        <v>CUDA</v>
      </c>
      <c r="Q9" s="1">
        <f>N21</f>
        <v>2810</v>
      </c>
      <c r="R9">
        <f>N17</f>
        <v>1240</v>
      </c>
      <c r="S9">
        <f>N13</f>
        <v>1350</v>
      </c>
      <c r="T9">
        <f>N9</f>
        <v>1050</v>
      </c>
      <c r="U9">
        <f>L9</f>
        <v>512</v>
      </c>
    </row>
    <row r="10" spans="1:21" x14ac:dyDescent="0.3">
      <c r="A10">
        <v>8</v>
      </c>
      <c r="B10">
        <v>64</v>
      </c>
      <c r="C10">
        <v>1000000</v>
      </c>
      <c r="D10" s="1">
        <v>8090</v>
      </c>
      <c r="E10" s="1">
        <v>5.5500000000000002E-6</v>
      </c>
      <c r="F10" t="s">
        <v>6</v>
      </c>
      <c r="K10">
        <f t="shared" ref="K10:P13" si="1">A14</f>
        <v>16</v>
      </c>
      <c r="L10">
        <f t="shared" si="1"/>
        <v>64</v>
      </c>
      <c r="M10">
        <f t="shared" si="1"/>
        <v>10000</v>
      </c>
      <c r="N10">
        <f t="shared" si="1"/>
        <v>524</v>
      </c>
      <c r="O10">
        <f t="shared" si="1"/>
        <v>1.79E-6</v>
      </c>
      <c r="P10" t="str">
        <f t="shared" si="1"/>
        <v>CUDA</v>
      </c>
    </row>
    <row r="11" spans="1:21" x14ac:dyDescent="0.3">
      <c r="A11">
        <v>8</v>
      </c>
      <c r="B11">
        <v>128</v>
      </c>
      <c r="C11">
        <v>1000000</v>
      </c>
      <c r="D11" s="1">
        <v>15500</v>
      </c>
      <c r="E11" s="1">
        <v>5.5500000000000002E-6</v>
      </c>
      <c r="F11" t="s">
        <v>6</v>
      </c>
      <c r="K11">
        <f t="shared" si="1"/>
        <v>16</v>
      </c>
      <c r="L11">
        <f t="shared" si="1"/>
        <v>128</v>
      </c>
      <c r="M11">
        <f t="shared" si="1"/>
        <v>10000</v>
      </c>
      <c r="N11">
        <f t="shared" si="1"/>
        <v>705</v>
      </c>
      <c r="O11">
        <f t="shared" si="1"/>
        <v>1.79E-6</v>
      </c>
      <c r="P11" t="str">
        <f t="shared" si="1"/>
        <v>CUDA</v>
      </c>
    </row>
    <row r="12" spans="1:21" x14ac:dyDescent="0.3">
      <c r="A12">
        <v>8</v>
      </c>
      <c r="B12">
        <v>256</v>
      </c>
      <c r="C12">
        <v>1000000</v>
      </c>
      <c r="D12" s="1">
        <v>22600</v>
      </c>
      <c r="E12" s="1">
        <v>5.5500000000000002E-6</v>
      </c>
      <c r="F12" t="s">
        <v>6</v>
      </c>
      <c r="K12">
        <f t="shared" si="1"/>
        <v>16</v>
      </c>
      <c r="L12">
        <f t="shared" si="1"/>
        <v>256</v>
      </c>
      <c r="M12">
        <f t="shared" si="1"/>
        <v>10000</v>
      </c>
      <c r="N12">
        <f t="shared" si="1"/>
        <v>867</v>
      </c>
      <c r="O12">
        <f t="shared" si="1"/>
        <v>1.79E-6</v>
      </c>
      <c r="P12" t="str">
        <f t="shared" si="1"/>
        <v>CUDA</v>
      </c>
    </row>
    <row r="13" spans="1:21" x14ac:dyDescent="0.3">
      <c r="A13">
        <v>8</v>
      </c>
      <c r="B13">
        <v>512</v>
      </c>
      <c r="C13">
        <v>1000000</v>
      </c>
      <c r="D13" s="1">
        <v>42700</v>
      </c>
      <c r="E13" s="1">
        <v>5.5500000000000002E-6</v>
      </c>
      <c r="F13" t="s">
        <v>6</v>
      </c>
      <c r="K13">
        <f t="shared" si="1"/>
        <v>16</v>
      </c>
      <c r="L13">
        <f t="shared" si="1"/>
        <v>512</v>
      </c>
      <c r="M13">
        <f t="shared" si="1"/>
        <v>10000</v>
      </c>
      <c r="N13">
        <f t="shared" si="1"/>
        <v>1350</v>
      </c>
      <c r="O13">
        <f t="shared" si="1"/>
        <v>1.79E-6</v>
      </c>
      <c r="P13" t="str">
        <f t="shared" si="1"/>
        <v>CUDA</v>
      </c>
    </row>
    <row r="14" spans="1:21" x14ac:dyDescent="0.3">
      <c r="A14">
        <v>16</v>
      </c>
      <c r="B14">
        <v>64</v>
      </c>
      <c r="C14">
        <v>10000</v>
      </c>
      <c r="D14" s="1">
        <v>524</v>
      </c>
      <c r="E14" s="1">
        <v>1.79E-6</v>
      </c>
      <c r="F14" t="s">
        <v>6</v>
      </c>
      <c r="K14">
        <f t="shared" ref="K14:P17" si="2">A26</f>
        <v>32</v>
      </c>
      <c r="L14">
        <f t="shared" si="2"/>
        <v>64</v>
      </c>
      <c r="M14">
        <f t="shared" si="2"/>
        <v>10000</v>
      </c>
      <c r="N14">
        <f t="shared" si="2"/>
        <v>626</v>
      </c>
      <c r="O14">
        <f t="shared" si="2"/>
        <v>2.3699999999999999E-2</v>
      </c>
      <c r="P14" t="str">
        <f t="shared" si="2"/>
        <v>CUDA</v>
      </c>
    </row>
    <row r="15" spans="1:21" x14ac:dyDescent="0.3">
      <c r="A15">
        <v>16</v>
      </c>
      <c r="B15">
        <v>128</v>
      </c>
      <c r="C15">
        <v>10000</v>
      </c>
      <c r="D15" s="1">
        <v>705</v>
      </c>
      <c r="E15" s="1">
        <v>1.79E-6</v>
      </c>
      <c r="F15" t="s">
        <v>6</v>
      </c>
      <c r="K15">
        <f t="shared" si="2"/>
        <v>32</v>
      </c>
      <c r="L15">
        <f t="shared" si="2"/>
        <v>128</v>
      </c>
      <c r="M15">
        <f t="shared" si="2"/>
        <v>10000</v>
      </c>
      <c r="N15">
        <f t="shared" si="2"/>
        <v>682</v>
      </c>
      <c r="O15">
        <f t="shared" si="2"/>
        <v>2.3699999999999999E-2</v>
      </c>
      <c r="P15" t="str">
        <f t="shared" si="2"/>
        <v>CUDA</v>
      </c>
    </row>
    <row r="16" spans="1:21" x14ac:dyDescent="0.3">
      <c r="A16">
        <v>16</v>
      </c>
      <c r="B16">
        <v>256</v>
      </c>
      <c r="C16">
        <v>10000</v>
      </c>
      <c r="D16" s="1">
        <v>867</v>
      </c>
      <c r="E16" s="1">
        <v>1.79E-6</v>
      </c>
      <c r="F16" t="s">
        <v>6</v>
      </c>
      <c r="K16">
        <f t="shared" si="2"/>
        <v>32</v>
      </c>
      <c r="L16">
        <f t="shared" si="2"/>
        <v>256</v>
      </c>
      <c r="M16">
        <f t="shared" si="2"/>
        <v>10000</v>
      </c>
      <c r="N16">
        <f t="shared" si="2"/>
        <v>1210</v>
      </c>
      <c r="O16">
        <f t="shared" si="2"/>
        <v>2.3699999999999999E-2</v>
      </c>
      <c r="P16" t="str">
        <f t="shared" si="2"/>
        <v>CUDA</v>
      </c>
    </row>
    <row r="17" spans="1:21" x14ac:dyDescent="0.3">
      <c r="A17">
        <v>16</v>
      </c>
      <c r="B17">
        <v>512</v>
      </c>
      <c r="C17">
        <v>10000</v>
      </c>
      <c r="D17" s="1">
        <v>1350</v>
      </c>
      <c r="E17" s="1">
        <v>1.79E-6</v>
      </c>
      <c r="F17" t="s">
        <v>6</v>
      </c>
      <c r="K17">
        <f t="shared" si="2"/>
        <v>32</v>
      </c>
      <c r="L17">
        <f t="shared" si="2"/>
        <v>512</v>
      </c>
      <c r="M17">
        <f t="shared" si="2"/>
        <v>10000</v>
      </c>
      <c r="N17">
        <f t="shared" si="2"/>
        <v>1240</v>
      </c>
      <c r="O17">
        <f t="shared" si="2"/>
        <v>2.3699999999999999E-2</v>
      </c>
      <c r="P17" t="str">
        <f t="shared" si="2"/>
        <v>CUDA</v>
      </c>
    </row>
    <row r="18" spans="1:21" x14ac:dyDescent="0.3">
      <c r="A18">
        <v>16</v>
      </c>
      <c r="B18">
        <v>64</v>
      </c>
      <c r="C18">
        <v>100000</v>
      </c>
      <c r="D18" s="1">
        <v>1680</v>
      </c>
      <c r="E18" s="1">
        <v>1.73E-6</v>
      </c>
      <c r="F18" t="s">
        <v>6</v>
      </c>
      <c r="K18">
        <v>64</v>
      </c>
      <c r="L18">
        <v>64</v>
      </c>
      <c r="M18">
        <v>10000</v>
      </c>
      <c r="N18" s="1">
        <v>871</v>
      </c>
      <c r="O18" s="1">
        <v>19000000</v>
      </c>
      <c r="P18" t="s">
        <v>6</v>
      </c>
    </row>
    <row r="19" spans="1:21" x14ac:dyDescent="0.3">
      <c r="A19">
        <v>16</v>
      </c>
      <c r="B19">
        <v>128</v>
      </c>
      <c r="C19">
        <v>100000</v>
      </c>
      <c r="D19" s="1">
        <v>1940</v>
      </c>
      <c r="E19" s="1">
        <v>1.73E-6</v>
      </c>
      <c r="F19" t="s">
        <v>6</v>
      </c>
      <c r="K19">
        <v>64</v>
      </c>
      <c r="L19">
        <v>128</v>
      </c>
      <c r="M19">
        <v>10000</v>
      </c>
      <c r="N19" s="1">
        <v>1080</v>
      </c>
      <c r="O19" s="1">
        <v>19000000</v>
      </c>
      <c r="P19" t="s">
        <v>6</v>
      </c>
    </row>
    <row r="20" spans="1:21" x14ac:dyDescent="0.3">
      <c r="A20">
        <v>16</v>
      </c>
      <c r="B20">
        <v>256</v>
      </c>
      <c r="C20">
        <v>100000</v>
      </c>
      <c r="D20" s="1">
        <v>3400</v>
      </c>
      <c r="E20" s="1">
        <v>1.73E-6</v>
      </c>
      <c r="F20" t="s">
        <v>6</v>
      </c>
      <c r="K20">
        <v>64</v>
      </c>
      <c r="L20">
        <v>256</v>
      </c>
      <c r="M20">
        <v>10000</v>
      </c>
      <c r="N20" s="1">
        <v>1100</v>
      </c>
      <c r="O20" s="1">
        <v>19000000</v>
      </c>
      <c r="P20" t="s">
        <v>6</v>
      </c>
    </row>
    <row r="21" spans="1:21" x14ac:dyDescent="0.3">
      <c r="A21">
        <v>16</v>
      </c>
      <c r="B21">
        <v>512</v>
      </c>
      <c r="C21">
        <v>100000</v>
      </c>
      <c r="D21" s="1">
        <v>8540</v>
      </c>
      <c r="E21" s="1">
        <v>1.73E-6</v>
      </c>
      <c r="F21" t="s">
        <v>6</v>
      </c>
      <c r="K21">
        <v>64</v>
      </c>
      <c r="L21">
        <v>512</v>
      </c>
      <c r="M21">
        <v>10000</v>
      </c>
      <c r="N21" s="1">
        <v>2810</v>
      </c>
      <c r="O21" s="1">
        <v>19000000</v>
      </c>
      <c r="P21" t="s">
        <v>6</v>
      </c>
    </row>
    <row r="22" spans="1:21" x14ac:dyDescent="0.3">
      <c r="A22">
        <v>16</v>
      </c>
      <c r="B22">
        <v>64</v>
      </c>
      <c r="C22">
        <v>1000000</v>
      </c>
      <c r="D22" s="1">
        <v>9230</v>
      </c>
      <c r="E22" s="1">
        <v>1.73E-6</v>
      </c>
      <c r="F22" t="s">
        <v>6</v>
      </c>
    </row>
    <row r="23" spans="1:21" x14ac:dyDescent="0.3">
      <c r="A23">
        <v>16</v>
      </c>
      <c r="B23">
        <v>128</v>
      </c>
      <c r="C23">
        <v>1000000</v>
      </c>
      <c r="D23" s="1">
        <v>26100</v>
      </c>
      <c r="E23" s="1">
        <v>1.73E-6</v>
      </c>
      <c r="F23" t="s">
        <v>6</v>
      </c>
    </row>
    <row r="24" spans="1:21" x14ac:dyDescent="0.3">
      <c r="A24">
        <v>16</v>
      </c>
      <c r="B24">
        <v>256</v>
      </c>
      <c r="C24">
        <v>1000000</v>
      </c>
      <c r="D24" s="1">
        <v>28700</v>
      </c>
      <c r="E24" s="1">
        <v>1.73E-6</v>
      </c>
      <c r="F24" t="s">
        <v>6</v>
      </c>
    </row>
    <row r="25" spans="1:21" x14ac:dyDescent="0.3">
      <c r="A25">
        <v>16</v>
      </c>
      <c r="B25">
        <v>512</v>
      </c>
      <c r="C25">
        <v>1000000</v>
      </c>
      <c r="D25" s="1">
        <v>94500</v>
      </c>
      <c r="E25" s="1">
        <v>1.73E-6</v>
      </c>
      <c r="F25" t="s">
        <v>6</v>
      </c>
    </row>
    <row r="26" spans="1:21" x14ac:dyDescent="0.3">
      <c r="A26">
        <v>32</v>
      </c>
      <c r="B26">
        <v>64</v>
      </c>
      <c r="C26">
        <v>10000</v>
      </c>
      <c r="D26" s="1">
        <v>626</v>
      </c>
      <c r="E26" s="1">
        <v>2.3699999999999999E-2</v>
      </c>
      <c r="F26" t="s">
        <v>6</v>
      </c>
    </row>
    <row r="27" spans="1:21" x14ac:dyDescent="0.3">
      <c r="A27">
        <v>32</v>
      </c>
      <c r="B27">
        <v>128</v>
      </c>
      <c r="C27">
        <v>10000</v>
      </c>
      <c r="D27" s="1">
        <v>682</v>
      </c>
      <c r="E27" s="1">
        <v>2.3699999999999999E-2</v>
      </c>
      <c r="F27" t="s">
        <v>6</v>
      </c>
      <c r="K27" t="str">
        <f t="shared" ref="K27:P27" si="3">A1</f>
        <v>slice_number</v>
      </c>
      <c r="L27" t="str">
        <f t="shared" si="3"/>
        <v>block_size</v>
      </c>
      <c r="M27" t="str">
        <f t="shared" si="3"/>
        <v>query_num</v>
      </c>
      <c r="N27" t="str">
        <f t="shared" si="3"/>
        <v>elapsed(us)</v>
      </c>
      <c r="O27" t="str">
        <f t="shared" si="3"/>
        <v>mean_error</v>
      </c>
      <c r="P27" t="str">
        <f t="shared" si="3"/>
        <v>version</v>
      </c>
      <c r="Q27" t="str">
        <f t="shared" ref="Q27:U27" si="4">Q5</f>
        <v>slice = 64</v>
      </c>
      <c r="R27" t="str">
        <f t="shared" si="4"/>
        <v>slice = 32</v>
      </c>
      <c r="S27" t="str">
        <f t="shared" si="4"/>
        <v>slice = 16</v>
      </c>
      <c r="T27" t="str">
        <f t="shared" si="4"/>
        <v>slice = 8</v>
      </c>
      <c r="U27" t="str">
        <f t="shared" si="4"/>
        <v>block_size</v>
      </c>
    </row>
    <row r="28" spans="1:21" x14ac:dyDescent="0.3">
      <c r="A28">
        <v>32</v>
      </c>
      <c r="B28">
        <v>256</v>
      </c>
      <c r="C28">
        <v>10000</v>
      </c>
      <c r="D28" s="1">
        <v>1210</v>
      </c>
      <c r="E28" s="1">
        <v>2.3699999999999999E-2</v>
      </c>
      <c r="F28" t="s">
        <v>6</v>
      </c>
      <c r="K28">
        <f t="shared" ref="K28:P31" si="5">A6</f>
        <v>8</v>
      </c>
      <c r="L28">
        <f t="shared" si="5"/>
        <v>64</v>
      </c>
      <c r="M28">
        <f t="shared" si="5"/>
        <v>100000</v>
      </c>
      <c r="N28">
        <f t="shared" si="5"/>
        <v>1030</v>
      </c>
      <c r="O28">
        <f t="shared" si="5"/>
        <v>5.5500000000000002E-6</v>
      </c>
      <c r="P28" t="str">
        <f t="shared" si="5"/>
        <v>CUDA</v>
      </c>
      <c r="Q28">
        <f t="shared" ref="Q28:Q31" si="6">N40</f>
        <v>5190</v>
      </c>
      <c r="R28">
        <f t="shared" ref="R28:R31" si="7">N36</f>
        <v>2380</v>
      </c>
      <c r="S28">
        <f t="shared" ref="S28:S31" si="8">N32</f>
        <v>1680</v>
      </c>
      <c r="T28">
        <f t="shared" ref="T28:T31" si="9">N28</f>
        <v>1030</v>
      </c>
      <c r="U28">
        <f t="shared" ref="U28:U31" si="10">U6</f>
        <v>64</v>
      </c>
    </row>
    <row r="29" spans="1:21" x14ac:dyDescent="0.3">
      <c r="A29">
        <v>32</v>
      </c>
      <c r="B29">
        <v>512</v>
      </c>
      <c r="C29">
        <v>10000</v>
      </c>
      <c r="D29" s="1">
        <v>1240</v>
      </c>
      <c r="E29" s="1">
        <v>2.3699999999999999E-2</v>
      </c>
      <c r="F29" t="s">
        <v>6</v>
      </c>
      <c r="K29">
        <f t="shared" si="5"/>
        <v>8</v>
      </c>
      <c r="L29">
        <f t="shared" si="5"/>
        <v>128</v>
      </c>
      <c r="M29">
        <f t="shared" si="5"/>
        <v>100000</v>
      </c>
      <c r="N29">
        <f t="shared" si="5"/>
        <v>1540</v>
      </c>
      <c r="O29">
        <f t="shared" si="5"/>
        <v>5.5500000000000002E-6</v>
      </c>
      <c r="P29" t="str">
        <f t="shared" si="5"/>
        <v>CUDA</v>
      </c>
      <c r="Q29">
        <f t="shared" si="6"/>
        <v>4390</v>
      </c>
      <c r="R29">
        <f t="shared" si="7"/>
        <v>3240</v>
      </c>
      <c r="S29">
        <f t="shared" si="8"/>
        <v>1940</v>
      </c>
      <c r="T29">
        <f t="shared" si="9"/>
        <v>1540</v>
      </c>
      <c r="U29">
        <f t="shared" si="10"/>
        <v>128</v>
      </c>
    </row>
    <row r="30" spans="1:21" x14ac:dyDescent="0.3">
      <c r="A30">
        <v>32</v>
      </c>
      <c r="B30">
        <v>64</v>
      </c>
      <c r="C30">
        <v>100000</v>
      </c>
      <c r="D30" s="1">
        <v>2380</v>
      </c>
      <c r="E30" s="1">
        <v>2.3300000000000001E-2</v>
      </c>
      <c r="F30" t="s">
        <v>6</v>
      </c>
      <c r="K30">
        <f t="shared" si="5"/>
        <v>8</v>
      </c>
      <c r="L30">
        <f t="shared" si="5"/>
        <v>256</v>
      </c>
      <c r="M30">
        <f t="shared" si="5"/>
        <v>100000</v>
      </c>
      <c r="N30">
        <f t="shared" si="5"/>
        <v>2580</v>
      </c>
      <c r="O30">
        <f t="shared" si="5"/>
        <v>5.5500000000000002E-6</v>
      </c>
      <c r="P30" t="str">
        <f t="shared" si="5"/>
        <v>CUDA</v>
      </c>
      <c r="Q30">
        <f t="shared" si="6"/>
        <v>12800</v>
      </c>
      <c r="R30">
        <f t="shared" si="7"/>
        <v>7920</v>
      </c>
      <c r="S30">
        <f t="shared" si="8"/>
        <v>3400</v>
      </c>
      <c r="T30">
        <f t="shared" si="9"/>
        <v>2580</v>
      </c>
      <c r="U30">
        <f t="shared" si="10"/>
        <v>256</v>
      </c>
    </row>
    <row r="31" spans="1:21" x14ac:dyDescent="0.3">
      <c r="A31">
        <v>32</v>
      </c>
      <c r="B31">
        <v>128</v>
      </c>
      <c r="C31">
        <v>100000</v>
      </c>
      <c r="D31" s="1">
        <v>3240</v>
      </c>
      <c r="E31" s="1">
        <v>2.3300000000000001E-2</v>
      </c>
      <c r="F31" t="s">
        <v>6</v>
      </c>
      <c r="K31">
        <f t="shared" si="5"/>
        <v>8</v>
      </c>
      <c r="L31">
        <f t="shared" si="5"/>
        <v>512</v>
      </c>
      <c r="M31">
        <f t="shared" si="5"/>
        <v>100000</v>
      </c>
      <c r="N31">
        <f t="shared" si="5"/>
        <v>7050</v>
      </c>
      <c r="O31">
        <f t="shared" si="5"/>
        <v>5.5500000000000002E-6</v>
      </c>
      <c r="P31" t="str">
        <f t="shared" si="5"/>
        <v>CUDA</v>
      </c>
      <c r="Q31">
        <f t="shared" si="6"/>
        <v>21900</v>
      </c>
      <c r="R31">
        <f t="shared" si="7"/>
        <v>9630</v>
      </c>
      <c r="S31">
        <f t="shared" si="8"/>
        <v>8540</v>
      </c>
      <c r="T31">
        <f t="shared" si="9"/>
        <v>7050</v>
      </c>
      <c r="U31">
        <f t="shared" si="10"/>
        <v>512</v>
      </c>
    </row>
    <row r="32" spans="1:21" x14ac:dyDescent="0.3">
      <c r="A32">
        <v>32</v>
      </c>
      <c r="B32">
        <v>256</v>
      </c>
      <c r="C32">
        <v>100000</v>
      </c>
      <c r="D32" s="1">
        <v>7920</v>
      </c>
      <c r="E32" s="1">
        <v>2.3300000000000001E-2</v>
      </c>
      <c r="F32" t="s">
        <v>6</v>
      </c>
      <c r="K32">
        <f t="shared" ref="K32:P35" si="11">A18</f>
        <v>16</v>
      </c>
      <c r="L32">
        <f t="shared" si="11"/>
        <v>64</v>
      </c>
      <c r="M32">
        <f t="shared" si="11"/>
        <v>100000</v>
      </c>
      <c r="N32">
        <f t="shared" si="11"/>
        <v>1680</v>
      </c>
      <c r="O32">
        <f t="shared" si="11"/>
        <v>1.73E-6</v>
      </c>
      <c r="P32" t="str">
        <f t="shared" si="11"/>
        <v>CUDA</v>
      </c>
    </row>
    <row r="33" spans="1:21" x14ac:dyDescent="0.3">
      <c r="A33">
        <v>32</v>
      </c>
      <c r="B33">
        <v>512</v>
      </c>
      <c r="C33">
        <v>100000</v>
      </c>
      <c r="D33" s="1">
        <v>9630</v>
      </c>
      <c r="E33" s="1">
        <v>2.3300000000000001E-2</v>
      </c>
      <c r="F33" t="s">
        <v>6</v>
      </c>
      <c r="K33">
        <f t="shared" si="11"/>
        <v>16</v>
      </c>
      <c r="L33">
        <f t="shared" si="11"/>
        <v>128</v>
      </c>
      <c r="M33">
        <f t="shared" si="11"/>
        <v>100000</v>
      </c>
      <c r="N33">
        <f t="shared" si="11"/>
        <v>1940</v>
      </c>
      <c r="O33">
        <f t="shared" si="11"/>
        <v>1.73E-6</v>
      </c>
      <c r="P33" t="str">
        <f t="shared" si="11"/>
        <v>CUDA</v>
      </c>
    </row>
    <row r="34" spans="1:21" x14ac:dyDescent="0.3">
      <c r="A34">
        <v>32</v>
      </c>
      <c r="B34">
        <v>64</v>
      </c>
      <c r="C34">
        <v>1000000</v>
      </c>
      <c r="D34" s="1">
        <v>21400</v>
      </c>
      <c r="E34" s="1">
        <v>2.3900000000000001E-2</v>
      </c>
      <c r="F34" t="s">
        <v>6</v>
      </c>
      <c r="K34">
        <f t="shared" si="11"/>
        <v>16</v>
      </c>
      <c r="L34">
        <f t="shared" si="11"/>
        <v>256</v>
      </c>
      <c r="M34">
        <f t="shared" si="11"/>
        <v>100000</v>
      </c>
      <c r="N34">
        <f t="shared" si="11"/>
        <v>3400</v>
      </c>
      <c r="O34">
        <f t="shared" si="11"/>
        <v>1.73E-6</v>
      </c>
      <c r="P34" t="str">
        <f t="shared" si="11"/>
        <v>CUDA</v>
      </c>
    </row>
    <row r="35" spans="1:21" x14ac:dyDescent="0.3">
      <c r="A35">
        <v>32</v>
      </c>
      <c r="B35">
        <v>128</v>
      </c>
      <c r="C35">
        <v>1000000</v>
      </c>
      <c r="D35" s="1">
        <v>33500</v>
      </c>
      <c r="E35" s="1">
        <v>2.3900000000000001E-2</v>
      </c>
      <c r="F35" t="s">
        <v>6</v>
      </c>
      <c r="K35">
        <f t="shared" si="11"/>
        <v>16</v>
      </c>
      <c r="L35">
        <f t="shared" si="11"/>
        <v>512</v>
      </c>
      <c r="M35">
        <f t="shared" si="11"/>
        <v>100000</v>
      </c>
      <c r="N35">
        <f t="shared" si="11"/>
        <v>8540</v>
      </c>
      <c r="O35">
        <f t="shared" si="11"/>
        <v>1.73E-6</v>
      </c>
      <c r="P35" t="str">
        <f t="shared" si="11"/>
        <v>CUDA</v>
      </c>
    </row>
    <row r="36" spans="1:21" x14ac:dyDescent="0.3">
      <c r="A36">
        <v>32</v>
      </c>
      <c r="B36">
        <v>256</v>
      </c>
      <c r="C36">
        <v>1000000</v>
      </c>
      <c r="D36" s="1">
        <v>64200</v>
      </c>
      <c r="E36" s="1">
        <v>2.3900000000000001E-2</v>
      </c>
      <c r="F36" t="s">
        <v>6</v>
      </c>
      <c r="K36">
        <f t="shared" ref="K36:P39" si="12">A30</f>
        <v>32</v>
      </c>
      <c r="L36">
        <f t="shared" si="12"/>
        <v>64</v>
      </c>
      <c r="M36">
        <f t="shared" si="12"/>
        <v>100000</v>
      </c>
      <c r="N36">
        <f t="shared" si="12"/>
        <v>2380</v>
      </c>
      <c r="O36">
        <f t="shared" si="12"/>
        <v>2.3300000000000001E-2</v>
      </c>
      <c r="P36" t="str">
        <f t="shared" si="12"/>
        <v>CUDA</v>
      </c>
    </row>
    <row r="37" spans="1:21" x14ac:dyDescent="0.3">
      <c r="A37">
        <v>32</v>
      </c>
      <c r="B37">
        <v>512</v>
      </c>
      <c r="C37">
        <v>1000000</v>
      </c>
      <c r="D37" s="1">
        <v>109000</v>
      </c>
      <c r="E37" s="1">
        <v>2.3900000000000001E-2</v>
      </c>
      <c r="F37" t="s">
        <v>6</v>
      </c>
      <c r="K37">
        <f t="shared" si="12"/>
        <v>32</v>
      </c>
      <c r="L37">
        <f t="shared" si="12"/>
        <v>128</v>
      </c>
      <c r="M37">
        <f t="shared" si="12"/>
        <v>100000</v>
      </c>
      <c r="N37">
        <f t="shared" si="12"/>
        <v>3240</v>
      </c>
      <c r="O37">
        <f t="shared" si="12"/>
        <v>2.3300000000000001E-2</v>
      </c>
      <c r="P37" t="str">
        <f t="shared" si="12"/>
        <v>CUDA</v>
      </c>
    </row>
    <row r="38" spans="1:21" x14ac:dyDescent="0.3">
      <c r="A38">
        <v>64</v>
      </c>
      <c r="B38">
        <v>64</v>
      </c>
      <c r="C38">
        <v>10000</v>
      </c>
      <c r="D38" s="1">
        <v>871</v>
      </c>
      <c r="E38" s="1">
        <v>19000000</v>
      </c>
      <c r="F38" t="s">
        <v>6</v>
      </c>
      <c r="K38">
        <f t="shared" si="12"/>
        <v>32</v>
      </c>
      <c r="L38">
        <f t="shared" si="12"/>
        <v>256</v>
      </c>
      <c r="M38">
        <f t="shared" si="12"/>
        <v>100000</v>
      </c>
      <c r="N38">
        <f t="shared" si="12"/>
        <v>7920</v>
      </c>
      <c r="O38">
        <f t="shared" si="12"/>
        <v>2.3300000000000001E-2</v>
      </c>
      <c r="P38" t="str">
        <f t="shared" si="12"/>
        <v>CUDA</v>
      </c>
    </row>
    <row r="39" spans="1:21" x14ac:dyDescent="0.3">
      <c r="A39">
        <v>64</v>
      </c>
      <c r="B39">
        <v>128</v>
      </c>
      <c r="C39">
        <v>10000</v>
      </c>
      <c r="D39" s="1">
        <v>1080</v>
      </c>
      <c r="E39" s="1">
        <v>19000000</v>
      </c>
      <c r="F39" t="s">
        <v>6</v>
      </c>
      <c r="K39">
        <f t="shared" si="12"/>
        <v>32</v>
      </c>
      <c r="L39">
        <f t="shared" si="12"/>
        <v>512</v>
      </c>
      <c r="M39">
        <f t="shared" si="12"/>
        <v>100000</v>
      </c>
      <c r="N39">
        <f t="shared" si="12"/>
        <v>9630</v>
      </c>
      <c r="O39">
        <f t="shared" si="12"/>
        <v>2.3300000000000001E-2</v>
      </c>
      <c r="P39" t="str">
        <f t="shared" si="12"/>
        <v>CUDA</v>
      </c>
    </row>
    <row r="40" spans="1:21" x14ac:dyDescent="0.3">
      <c r="A40">
        <v>64</v>
      </c>
      <c r="B40">
        <v>256</v>
      </c>
      <c r="C40">
        <v>10000</v>
      </c>
      <c r="D40" s="1">
        <v>1100</v>
      </c>
      <c r="E40" s="1">
        <v>19000000</v>
      </c>
      <c r="F40" t="s">
        <v>6</v>
      </c>
      <c r="K40">
        <f t="shared" ref="K40:P43" si="13">A42</f>
        <v>64</v>
      </c>
      <c r="L40">
        <f t="shared" si="13"/>
        <v>64</v>
      </c>
      <c r="M40">
        <f t="shared" si="13"/>
        <v>100000</v>
      </c>
      <c r="N40">
        <f t="shared" si="13"/>
        <v>5190</v>
      </c>
      <c r="O40">
        <f t="shared" si="13"/>
        <v>18500000</v>
      </c>
      <c r="P40" t="str">
        <f t="shared" si="13"/>
        <v>CUDA</v>
      </c>
    </row>
    <row r="41" spans="1:21" x14ac:dyDescent="0.3">
      <c r="A41">
        <v>64</v>
      </c>
      <c r="B41">
        <v>512</v>
      </c>
      <c r="C41">
        <v>10000</v>
      </c>
      <c r="D41" s="1">
        <v>2810</v>
      </c>
      <c r="E41" s="1">
        <v>19000000</v>
      </c>
      <c r="F41" t="s">
        <v>6</v>
      </c>
      <c r="K41">
        <f t="shared" si="13"/>
        <v>64</v>
      </c>
      <c r="L41">
        <f t="shared" si="13"/>
        <v>128</v>
      </c>
      <c r="M41">
        <f t="shared" si="13"/>
        <v>100000</v>
      </c>
      <c r="N41">
        <f t="shared" si="13"/>
        <v>4390</v>
      </c>
      <c r="O41">
        <f t="shared" si="13"/>
        <v>18500000</v>
      </c>
      <c r="P41" t="str">
        <f t="shared" si="13"/>
        <v>CUDA</v>
      </c>
    </row>
    <row r="42" spans="1:21" x14ac:dyDescent="0.3">
      <c r="A42">
        <v>64</v>
      </c>
      <c r="B42">
        <v>64</v>
      </c>
      <c r="C42">
        <v>100000</v>
      </c>
      <c r="D42" s="1">
        <v>5190</v>
      </c>
      <c r="E42" s="1">
        <v>18500000</v>
      </c>
      <c r="F42" t="s">
        <v>6</v>
      </c>
      <c r="K42">
        <f t="shared" si="13"/>
        <v>64</v>
      </c>
      <c r="L42">
        <f t="shared" si="13"/>
        <v>256</v>
      </c>
      <c r="M42">
        <f t="shared" si="13"/>
        <v>100000</v>
      </c>
      <c r="N42">
        <f t="shared" si="13"/>
        <v>12800</v>
      </c>
      <c r="O42">
        <f t="shared" si="13"/>
        <v>18500000</v>
      </c>
      <c r="P42" t="str">
        <f t="shared" si="13"/>
        <v>CUDA</v>
      </c>
    </row>
    <row r="43" spans="1:21" x14ac:dyDescent="0.3">
      <c r="A43">
        <v>64</v>
      </c>
      <c r="B43">
        <v>128</v>
      </c>
      <c r="C43">
        <v>100000</v>
      </c>
      <c r="D43" s="1">
        <v>4390</v>
      </c>
      <c r="E43" s="1">
        <v>18500000</v>
      </c>
      <c r="F43" t="s">
        <v>6</v>
      </c>
      <c r="K43">
        <f t="shared" si="13"/>
        <v>64</v>
      </c>
      <c r="L43">
        <f t="shared" si="13"/>
        <v>512</v>
      </c>
      <c r="M43">
        <f t="shared" si="13"/>
        <v>100000</v>
      </c>
      <c r="N43">
        <f t="shared" si="13"/>
        <v>21900</v>
      </c>
      <c r="O43">
        <f t="shared" si="13"/>
        <v>18500000</v>
      </c>
      <c r="P43" t="str">
        <f t="shared" si="13"/>
        <v>CUDA</v>
      </c>
    </row>
    <row r="44" spans="1:21" x14ac:dyDescent="0.3">
      <c r="A44">
        <v>64</v>
      </c>
      <c r="B44">
        <v>256</v>
      </c>
      <c r="C44">
        <v>100000</v>
      </c>
      <c r="D44" s="1">
        <v>12800</v>
      </c>
      <c r="E44" s="1">
        <v>18500000</v>
      </c>
      <c r="F44" t="s">
        <v>6</v>
      </c>
    </row>
    <row r="45" spans="1:21" x14ac:dyDescent="0.3">
      <c r="A45">
        <v>64</v>
      </c>
      <c r="B45">
        <v>512</v>
      </c>
      <c r="C45">
        <v>100000</v>
      </c>
      <c r="D45" s="1">
        <v>21900</v>
      </c>
      <c r="E45" s="1">
        <v>18500000</v>
      </c>
      <c r="F45" t="s">
        <v>6</v>
      </c>
    </row>
    <row r="46" spans="1:21" x14ac:dyDescent="0.3">
      <c r="A46">
        <v>64</v>
      </c>
      <c r="B46">
        <v>64</v>
      </c>
      <c r="C46">
        <v>1000000</v>
      </c>
      <c r="D46" s="1">
        <v>34800</v>
      </c>
      <c r="E46" s="1">
        <v>18800000</v>
      </c>
      <c r="F46" t="s">
        <v>6</v>
      </c>
    </row>
    <row r="47" spans="1:21" x14ac:dyDescent="0.3">
      <c r="A47">
        <v>64</v>
      </c>
      <c r="B47">
        <v>128</v>
      </c>
      <c r="C47">
        <v>1000000</v>
      </c>
      <c r="D47" s="1">
        <v>38900</v>
      </c>
      <c r="E47" s="1">
        <v>18800000</v>
      </c>
      <c r="F47" t="s">
        <v>6</v>
      </c>
    </row>
    <row r="48" spans="1:21" x14ac:dyDescent="0.3">
      <c r="A48">
        <v>64</v>
      </c>
      <c r="B48">
        <v>256</v>
      </c>
      <c r="C48">
        <v>1000000</v>
      </c>
      <c r="D48" s="1">
        <v>100000</v>
      </c>
      <c r="E48" s="1">
        <v>18800000</v>
      </c>
      <c r="F48" t="s">
        <v>6</v>
      </c>
      <c r="K48" t="str">
        <f t="shared" ref="K48:P48" si="14">K27</f>
        <v>slice_number</v>
      </c>
      <c r="L48" t="str">
        <f t="shared" si="14"/>
        <v>block_size</v>
      </c>
      <c r="M48" t="str">
        <f t="shared" si="14"/>
        <v>query_num</v>
      </c>
      <c r="N48" t="str">
        <f t="shared" si="14"/>
        <v>elapsed(us)</v>
      </c>
      <c r="O48" t="str">
        <f t="shared" si="14"/>
        <v>mean_error</v>
      </c>
      <c r="P48" t="str">
        <f t="shared" si="14"/>
        <v>version</v>
      </c>
      <c r="Q48" t="str">
        <f t="shared" ref="Q48:U48" si="15">Q27</f>
        <v>slice = 64</v>
      </c>
      <c r="R48" t="str">
        <f t="shared" si="15"/>
        <v>slice = 32</v>
      </c>
      <c r="S48" t="str">
        <f t="shared" si="15"/>
        <v>slice = 16</v>
      </c>
      <c r="T48" t="str">
        <f t="shared" si="15"/>
        <v>slice = 8</v>
      </c>
      <c r="U48" t="str">
        <f t="shared" si="15"/>
        <v>block_size</v>
      </c>
    </row>
    <row r="49" spans="1:21" x14ac:dyDescent="0.3">
      <c r="A49">
        <v>64</v>
      </c>
      <c r="B49">
        <v>512</v>
      </c>
      <c r="C49">
        <v>1000000</v>
      </c>
      <c r="D49" s="1">
        <v>193000</v>
      </c>
      <c r="E49" s="1">
        <v>18800000</v>
      </c>
      <c r="F49" t="s">
        <v>6</v>
      </c>
      <c r="K49">
        <f t="shared" ref="K49:P52" si="16">A10</f>
        <v>8</v>
      </c>
      <c r="L49">
        <f t="shared" si="16"/>
        <v>64</v>
      </c>
      <c r="M49">
        <f t="shared" si="16"/>
        <v>1000000</v>
      </c>
      <c r="N49">
        <f t="shared" si="16"/>
        <v>8090</v>
      </c>
      <c r="O49">
        <f t="shared" si="16"/>
        <v>5.5500000000000002E-6</v>
      </c>
      <c r="P49" t="str">
        <f t="shared" si="16"/>
        <v>CUDA</v>
      </c>
      <c r="Q49">
        <f t="shared" ref="Q49:Q52" si="17">N61</f>
        <v>34800</v>
      </c>
      <c r="R49">
        <f t="shared" ref="R49:R52" si="18">N57</f>
        <v>21400</v>
      </c>
      <c r="S49">
        <f t="shared" ref="S49:S52" si="19">N53</f>
        <v>9230</v>
      </c>
      <c r="T49">
        <f t="shared" ref="T49:T52" si="20">N49</f>
        <v>8090</v>
      </c>
      <c r="U49">
        <f t="shared" ref="U49:U52" si="21">U28</f>
        <v>64</v>
      </c>
    </row>
    <row r="50" spans="1:21" x14ac:dyDescent="0.3">
      <c r="K50">
        <f t="shared" si="16"/>
        <v>8</v>
      </c>
      <c r="L50">
        <f t="shared" si="16"/>
        <v>128</v>
      </c>
      <c r="M50">
        <f t="shared" si="16"/>
        <v>1000000</v>
      </c>
      <c r="N50">
        <f t="shared" si="16"/>
        <v>15500</v>
      </c>
      <c r="O50">
        <f t="shared" si="16"/>
        <v>5.5500000000000002E-6</v>
      </c>
      <c r="P50" t="str">
        <f t="shared" si="16"/>
        <v>CUDA</v>
      </c>
      <c r="Q50">
        <f t="shared" si="17"/>
        <v>38900</v>
      </c>
      <c r="R50">
        <f t="shared" si="18"/>
        <v>33500</v>
      </c>
      <c r="S50">
        <f t="shared" si="19"/>
        <v>26100</v>
      </c>
      <c r="T50">
        <f t="shared" si="20"/>
        <v>15500</v>
      </c>
      <c r="U50">
        <f t="shared" si="21"/>
        <v>128</v>
      </c>
    </row>
    <row r="51" spans="1:21" x14ac:dyDescent="0.3">
      <c r="K51">
        <f t="shared" si="16"/>
        <v>8</v>
      </c>
      <c r="L51">
        <f t="shared" si="16"/>
        <v>256</v>
      </c>
      <c r="M51">
        <f t="shared" si="16"/>
        <v>1000000</v>
      </c>
      <c r="N51">
        <f t="shared" si="16"/>
        <v>22600</v>
      </c>
      <c r="O51">
        <f t="shared" si="16"/>
        <v>5.5500000000000002E-6</v>
      </c>
      <c r="P51" t="str">
        <f t="shared" si="16"/>
        <v>CUDA</v>
      </c>
      <c r="Q51">
        <f t="shared" si="17"/>
        <v>100000</v>
      </c>
      <c r="R51">
        <f t="shared" si="18"/>
        <v>64200</v>
      </c>
      <c r="S51">
        <f t="shared" si="19"/>
        <v>28700</v>
      </c>
      <c r="T51">
        <f t="shared" si="20"/>
        <v>22600</v>
      </c>
      <c r="U51">
        <f t="shared" si="21"/>
        <v>256</v>
      </c>
    </row>
    <row r="52" spans="1:21" x14ac:dyDescent="0.3">
      <c r="K52">
        <f t="shared" si="16"/>
        <v>8</v>
      </c>
      <c r="L52">
        <f t="shared" si="16"/>
        <v>512</v>
      </c>
      <c r="M52">
        <f t="shared" si="16"/>
        <v>1000000</v>
      </c>
      <c r="N52">
        <f t="shared" si="16"/>
        <v>42700</v>
      </c>
      <c r="O52">
        <f t="shared" si="16"/>
        <v>5.5500000000000002E-6</v>
      </c>
      <c r="P52" t="str">
        <f t="shared" si="16"/>
        <v>CUDA</v>
      </c>
      <c r="Q52">
        <f t="shared" si="17"/>
        <v>193000</v>
      </c>
      <c r="R52">
        <f t="shared" si="18"/>
        <v>109000</v>
      </c>
      <c r="S52">
        <f t="shared" si="19"/>
        <v>94500</v>
      </c>
      <c r="T52">
        <f t="shared" si="20"/>
        <v>42700</v>
      </c>
      <c r="U52">
        <f t="shared" si="21"/>
        <v>512</v>
      </c>
    </row>
    <row r="53" spans="1:21" x14ac:dyDescent="0.3">
      <c r="K53">
        <f t="shared" ref="K53:P56" si="22">A22</f>
        <v>16</v>
      </c>
      <c r="L53">
        <f t="shared" si="22"/>
        <v>64</v>
      </c>
      <c r="M53">
        <f t="shared" si="22"/>
        <v>1000000</v>
      </c>
      <c r="N53">
        <f t="shared" si="22"/>
        <v>9230</v>
      </c>
      <c r="O53">
        <f t="shared" si="22"/>
        <v>1.73E-6</v>
      </c>
      <c r="P53" t="str">
        <f t="shared" si="22"/>
        <v>CUDA</v>
      </c>
    </row>
    <row r="54" spans="1:21" x14ac:dyDescent="0.3">
      <c r="K54">
        <f t="shared" si="22"/>
        <v>16</v>
      </c>
      <c r="L54">
        <f t="shared" si="22"/>
        <v>128</v>
      </c>
      <c r="M54">
        <f t="shared" si="22"/>
        <v>1000000</v>
      </c>
      <c r="N54">
        <f t="shared" si="22"/>
        <v>26100</v>
      </c>
      <c r="O54">
        <f t="shared" si="22"/>
        <v>1.73E-6</v>
      </c>
      <c r="P54" t="str">
        <f t="shared" si="22"/>
        <v>CUDA</v>
      </c>
    </row>
    <row r="55" spans="1:21" x14ac:dyDescent="0.3">
      <c r="K55">
        <f t="shared" si="22"/>
        <v>16</v>
      </c>
      <c r="L55">
        <f t="shared" si="22"/>
        <v>256</v>
      </c>
      <c r="M55">
        <f t="shared" si="22"/>
        <v>1000000</v>
      </c>
      <c r="N55">
        <f t="shared" si="22"/>
        <v>28700</v>
      </c>
      <c r="O55">
        <f t="shared" si="22"/>
        <v>1.73E-6</v>
      </c>
      <c r="P55" t="str">
        <f t="shared" si="22"/>
        <v>CUDA</v>
      </c>
    </row>
    <row r="56" spans="1:21" x14ac:dyDescent="0.3">
      <c r="K56">
        <f t="shared" si="22"/>
        <v>16</v>
      </c>
      <c r="L56">
        <f t="shared" si="22"/>
        <v>512</v>
      </c>
      <c r="M56">
        <f t="shared" si="22"/>
        <v>1000000</v>
      </c>
      <c r="N56">
        <f t="shared" si="22"/>
        <v>94500</v>
      </c>
      <c r="O56">
        <f t="shared" si="22"/>
        <v>1.73E-6</v>
      </c>
      <c r="P56" t="str">
        <f t="shared" si="22"/>
        <v>CUDA</v>
      </c>
    </row>
    <row r="57" spans="1:21" x14ac:dyDescent="0.3">
      <c r="K57">
        <f t="shared" ref="K57:P60" si="23">A34</f>
        <v>32</v>
      </c>
      <c r="L57">
        <f t="shared" si="23"/>
        <v>64</v>
      </c>
      <c r="M57">
        <f t="shared" si="23"/>
        <v>1000000</v>
      </c>
      <c r="N57">
        <f t="shared" si="23"/>
        <v>21400</v>
      </c>
      <c r="O57">
        <f t="shared" si="23"/>
        <v>2.3900000000000001E-2</v>
      </c>
      <c r="P57" t="str">
        <f t="shared" si="23"/>
        <v>CUDA</v>
      </c>
    </row>
    <row r="58" spans="1:21" x14ac:dyDescent="0.3">
      <c r="K58">
        <f t="shared" si="23"/>
        <v>32</v>
      </c>
      <c r="L58">
        <f t="shared" si="23"/>
        <v>128</v>
      </c>
      <c r="M58">
        <f t="shared" si="23"/>
        <v>1000000</v>
      </c>
      <c r="N58">
        <f t="shared" si="23"/>
        <v>33500</v>
      </c>
      <c r="O58">
        <f t="shared" si="23"/>
        <v>2.3900000000000001E-2</v>
      </c>
      <c r="P58" t="str">
        <f t="shared" si="23"/>
        <v>CUDA</v>
      </c>
    </row>
    <row r="59" spans="1:21" x14ac:dyDescent="0.3">
      <c r="K59">
        <f t="shared" si="23"/>
        <v>32</v>
      </c>
      <c r="L59">
        <f t="shared" si="23"/>
        <v>256</v>
      </c>
      <c r="M59">
        <f t="shared" si="23"/>
        <v>1000000</v>
      </c>
      <c r="N59">
        <f t="shared" si="23"/>
        <v>64200</v>
      </c>
      <c r="O59">
        <f t="shared" si="23"/>
        <v>2.3900000000000001E-2</v>
      </c>
      <c r="P59" t="str">
        <f t="shared" si="23"/>
        <v>CUDA</v>
      </c>
    </row>
    <row r="60" spans="1:21" x14ac:dyDescent="0.3">
      <c r="K60">
        <f t="shared" si="23"/>
        <v>32</v>
      </c>
      <c r="L60">
        <f t="shared" si="23"/>
        <v>512</v>
      </c>
      <c r="M60">
        <f t="shared" si="23"/>
        <v>1000000</v>
      </c>
      <c r="N60">
        <f t="shared" si="23"/>
        <v>109000</v>
      </c>
      <c r="O60">
        <f t="shared" si="23"/>
        <v>2.3900000000000001E-2</v>
      </c>
      <c r="P60" t="str">
        <f t="shared" si="23"/>
        <v>CUDA</v>
      </c>
    </row>
    <row r="61" spans="1:21" x14ac:dyDescent="0.3">
      <c r="K61">
        <f t="shared" ref="K61:P64" si="24">A46</f>
        <v>64</v>
      </c>
      <c r="L61">
        <f t="shared" si="24"/>
        <v>64</v>
      </c>
      <c r="M61">
        <f t="shared" si="24"/>
        <v>1000000</v>
      </c>
      <c r="N61">
        <f t="shared" si="24"/>
        <v>34800</v>
      </c>
      <c r="O61">
        <f t="shared" si="24"/>
        <v>18800000</v>
      </c>
      <c r="P61" t="str">
        <f t="shared" si="24"/>
        <v>CUDA</v>
      </c>
    </row>
    <row r="62" spans="1:21" x14ac:dyDescent="0.3">
      <c r="K62">
        <f t="shared" si="24"/>
        <v>64</v>
      </c>
      <c r="L62">
        <f t="shared" si="24"/>
        <v>128</v>
      </c>
      <c r="M62">
        <f t="shared" si="24"/>
        <v>1000000</v>
      </c>
      <c r="N62">
        <f t="shared" si="24"/>
        <v>38900</v>
      </c>
      <c r="O62">
        <f t="shared" si="24"/>
        <v>18800000</v>
      </c>
      <c r="P62" t="str">
        <f t="shared" si="24"/>
        <v>CUDA</v>
      </c>
    </row>
    <row r="63" spans="1:21" x14ac:dyDescent="0.3">
      <c r="K63">
        <f t="shared" si="24"/>
        <v>64</v>
      </c>
      <c r="L63">
        <f t="shared" si="24"/>
        <v>256</v>
      </c>
      <c r="M63">
        <f t="shared" si="24"/>
        <v>1000000</v>
      </c>
      <c r="N63">
        <f t="shared" si="24"/>
        <v>100000</v>
      </c>
      <c r="O63">
        <f t="shared" si="24"/>
        <v>18800000</v>
      </c>
      <c r="P63" t="str">
        <f t="shared" si="24"/>
        <v>CUDA</v>
      </c>
    </row>
    <row r="64" spans="1:21" x14ac:dyDescent="0.3">
      <c r="K64">
        <f t="shared" si="24"/>
        <v>64</v>
      </c>
      <c r="L64">
        <f t="shared" si="24"/>
        <v>512</v>
      </c>
      <c r="M64">
        <f t="shared" si="24"/>
        <v>1000000</v>
      </c>
      <c r="N64">
        <f t="shared" si="24"/>
        <v>193000</v>
      </c>
      <c r="O64">
        <f t="shared" si="24"/>
        <v>18800000</v>
      </c>
      <c r="P64" t="str">
        <f t="shared" si="24"/>
        <v>CUDA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block_effect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2026-08-14T13:27:41Z</dcterms:created>
  <dcterms:modified xsi:type="dcterms:W3CDTF">2026-08-14T13:27:44Z</dcterms:modified>
</cp:coreProperties>
</file>